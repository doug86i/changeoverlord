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doug/git/Changeoverlord/examples/"/>
    </mc:Choice>
  </mc:AlternateContent>
  <xr:revisionPtr revIDLastSave="0" documentId="8_{FB1B0374-5CA9-7345-B4CB-168906255FAF}" xr6:coauthVersionLast="47" xr6:coauthVersionMax="47" xr10:uidLastSave="{00000000-0000-0000-0000-000000000000}"/>
  <bookViews>
    <workbookView xWindow="0" yWindow="500" windowWidth="29380" windowHeight="22340" activeTab="2" xr2:uid="{00000000-000D-0000-FFFF-FFFF00000000}"/>
  </bookViews>
  <sheets>
    <sheet name="Channel List" sheetId="1" r:id="rId1"/>
    <sheet name="Mic &amp; DI List" sheetId="2" r:id="rId2"/>
    <sheet name="SatBox Lables" sheetId="3" r:id="rId3"/>
    <sheet name="Equipment Pick List" sheetId="4" state="hidden" r:id="rId4"/>
  </sheets>
  <definedNames>
    <definedName name="_xlnm._FilterDatabase" localSheetId="0" hidden="1">'Channel List'!$A$1:$M$101</definedName>
    <definedName name="_xlnm._FilterDatabase" localSheetId="3" hidden="1">'Equipment Pick List'!$A$3:$E$1002</definedName>
    <definedName name="_xlnm._FilterDatabase" localSheetId="1" hidden="1">'Mic &amp; DI List'!$A$3:$B$40</definedName>
    <definedName name="_xlnm.Print_Area" localSheetId="0">'Channel List'!$A$1:$L$101</definedName>
    <definedName name="_xlnm.Print_Area" localSheetId="1">'Mic &amp; DI List'!$A$1:$B$40</definedName>
    <definedName name="_xlnm.Print_Area" localSheetId="2">'SatBox Lables'!$A$1:$E$46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1" i="4" l="1"/>
  <c r="E46" i="3"/>
  <c r="B46" i="3"/>
  <c r="B45" i="3"/>
  <c r="E44" i="3"/>
  <c r="B44" i="3"/>
  <c r="E43" i="3"/>
  <c r="B43" i="3"/>
  <c r="E42" i="3"/>
  <c r="B42" i="3"/>
  <c r="E41" i="3"/>
  <c r="B41" i="3"/>
  <c r="E40" i="3"/>
  <c r="B40" i="3"/>
  <c r="E39" i="3"/>
  <c r="B39" i="3"/>
  <c r="E38" i="3"/>
  <c r="E37" i="3"/>
  <c r="B37" i="3"/>
  <c r="E36" i="3"/>
  <c r="B36" i="3"/>
  <c r="E35" i="3"/>
  <c r="B35" i="3"/>
  <c r="E34" i="3"/>
  <c r="B34" i="3"/>
  <c r="E33" i="3"/>
  <c r="B33" i="3"/>
  <c r="E32" i="3"/>
  <c r="B32" i="3"/>
  <c r="E31" i="3"/>
  <c r="B31" i="3"/>
  <c r="E30" i="3"/>
  <c r="B30" i="3"/>
  <c r="E29" i="3"/>
  <c r="B29" i="3"/>
  <c r="B28" i="3"/>
  <c r="E27" i="3"/>
  <c r="B27" i="3"/>
  <c r="E26" i="3"/>
  <c r="B26" i="3"/>
  <c r="E25" i="3"/>
  <c r="B25" i="3"/>
  <c r="E24" i="3"/>
  <c r="B24" i="3"/>
  <c r="E23" i="3"/>
  <c r="B23" i="3"/>
  <c r="E21" i="3"/>
  <c r="B21" i="3"/>
  <c r="E20" i="3"/>
  <c r="B20" i="3"/>
  <c r="E19" i="3"/>
  <c r="B19" i="3"/>
  <c r="E18" i="3"/>
  <c r="B18" i="3"/>
  <c r="E17" i="3"/>
  <c r="B17" i="3"/>
  <c r="E16" i="3"/>
  <c r="B16" i="3"/>
  <c r="E15" i="3"/>
  <c r="B15" i="3"/>
  <c r="E14" i="3"/>
  <c r="B14" i="3"/>
  <c r="E13" i="3"/>
  <c r="B13" i="3"/>
  <c r="B12" i="3"/>
  <c r="E11" i="3"/>
  <c r="B11" i="3"/>
  <c r="E10" i="3"/>
  <c r="B10" i="3"/>
  <c r="E9" i="3"/>
  <c r="B9" i="3"/>
  <c r="E8" i="3"/>
  <c r="B8" i="3"/>
  <c r="E7" i="3"/>
  <c r="B7" i="3"/>
  <c r="E6" i="3"/>
  <c r="E5" i="3"/>
  <c r="E4" i="2"/>
  <c r="E3" i="2"/>
  <c r="E2" i="2"/>
  <c r="AC101" i="1"/>
  <c r="AB101" i="1"/>
  <c r="AA101" i="1"/>
  <c r="AD101" i="1" s="1"/>
  <c r="AC100" i="1"/>
  <c r="AB100" i="1"/>
  <c r="AA100" i="1"/>
  <c r="AD100" i="1" s="1"/>
  <c r="AC99" i="1"/>
  <c r="AB99" i="1"/>
  <c r="AA99" i="1"/>
  <c r="AD99" i="1" s="1"/>
  <c r="AC98" i="1"/>
  <c r="AB98" i="1"/>
  <c r="AA98" i="1"/>
  <c r="AD98" i="1" s="1"/>
  <c r="AC97" i="1"/>
  <c r="AB97" i="1"/>
  <c r="AA97" i="1"/>
  <c r="AD97" i="1" s="1"/>
  <c r="AC96" i="1"/>
  <c r="AB96" i="1"/>
  <c r="AA96" i="1"/>
  <c r="AD96" i="1" s="1"/>
  <c r="AC95" i="1"/>
  <c r="AB95" i="1"/>
  <c r="AA95" i="1"/>
  <c r="AD95" i="1" s="1"/>
  <c r="AC94" i="1"/>
  <c r="AB94" i="1"/>
  <c r="AA94" i="1"/>
  <c r="AD94" i="1" s="1"/>
  <c r="AC93" i="1"/>
  <c r="AB93" i="1"/>
  <c r="AA93" i="1"/>
  <c r="AD93" i="1" s="1"/>
  <c r="AC92" i="1"/>
  <c r="AB92" i="1"/>
  <c r="AA92" i="1"/>
  <c r="AD92" i="1" s="1"/>
  <c r="AC91" i="1"/>
  <c r="AB91" i="1"/>
  <c r="AA91" i="1"/>
  <c r="AD91" i="1" s="1"/>
  <c r="AC90" i="1"/>
  <c r="AB90" i="1"/>
  <c r="AA90" i="1"/>
  <c r="AD90" i="1" s="1"/>
  <c r="AC89" i="1"/>
  <c r="AB89" i="1"/>
  <c r="AA89" i="1"/>
  <c r="AD89" i="1" s="1"/>
  <c r="AC88" i="1"/>
  <c r="AB88" i="1"/>
  <c r="AA88" i="1"/>
  <c r="AD88" i="1" s="1"/>
  <c r="AC87" i="1"/>
  <c r="AB87" i="1"/>
  <c r="AA87" i="1"/>
  <c r="AD87" i="1" s="1"/>
  <c r="AC86" i="1"/>
  <c r="AB86" i="1"/>
  <c r="AA86" i="1"/>
  <c r="AD86" i="1" s="1"/>
  <c r="AC85" i="1"/>
  <c r="AB85" i="1"/>
  <c r="AA85" i="1"/>
  <c r="AD85" i="1" s="1"/>
  <c r="AC84" i="1"/>
  <c r="AB84" i="1"/>
  <c r="AA84" i="1"/>
  <c r="AD84" i="1" s="1"/>
  <c r="AC83" i="1"/>
  <c r="AB83" i="1"/>
  <c r="AA83" i="1"/>
  <c r="AD83" i="1" s="1"/>
  <c r="AC82" i="1"/>
  <c r="AB82" i="1"/>
  <c r="AA82" i="1"/>
  <c r="AD82" i="1" s="1"/>
  <c r="AC81" i="1"/>
  <c r="AB81" i="1"/>
  <c r="AA81" i="1"/>
  <c r="AD81" i="1" s="1"/>
  <c r="AC80" i="1"/>
  <c r="AB80" i="1"/>
  <c r="AA80" i="1"/>
  <c r="AD80" i="1" s="1"/>
  <c r="AC79" i="1"/>
  <c r="AB79" i="1"/>
  <c r="AA79" i="1"/>
  <c r="AD79" i="1" s="1"/>
  <c r="AC78" i="1"/>
  <c r="AB78" i="1"/>
  <c r="AA78" i="1"/>
  <c r="AD78" i="1" s="1"/>
  <c r="AC77" i="1"/>
  <c r="AB77" i="1"/>
  <c r="AA77" i="1"/>
  <c r="AD77" i="1" s="1"/>
  <c r="AC76" i="1"/>
  <c r="AB76" i="1"/>
  <c r="AA76" i="1"/>
  <c r="AD76" i="1" s="1"/>
  <c r="AC75" i="1"/>
  <c r="AB75" i="1"/>
  <c r="AA75" i="1"/>
  <c r="AD75" i="1" s="1"/>
  <c r="AC74" i="1"/>
  <c r="AB74" i="1"/>
  <c r="AA74" i="1"/>
  <c r="AD74" i="1" s="1"/>
  <c r="AC73" i="1"/>
  <c r="AB73" i="1"/>
  <c r="AA73" i="1"/>
  <c r="AD73" i="1" s="1"/>
  <c r="AC72" i="1"/>
  <c r="AB72" i="1"/>
  <c r="AA72" i="1"/>
  <c r="AD72" i="1" s="1"/>
  <c r="AC71" i="1"/>
  <c r="AB71" i="1"/>
  <c r="AA71" i="1"/>
  <c r="AD71" i="1" s="1"/>
  <c r="AC70" i="1"/>
  <c r="AB70" i="1"/>
  <c r="AA70" i="1"/>
  <c r="AD70" i="1" s="1"/>
  <c r="AD69" i="1"/>
  <c r="AC69" i="1"/>
  <c r="AB69" i="1"/>
  <c r="AA69" i="1"/>
  <c r="AC68" i="1"/>
  <c r="AB68" i="1"/>
  <c r="AA68" i="1"/>
  <c r="AD68" i="1" s="1"/>
  <c r="AC67" i="1"/>
  <c r="AB67" i="1"/>
  <c r="AA67" i="1"/>
  <c r="AD67" i="1" s="1"/>
  <c r="AC66" i="1"/>
  <c r="AB66" i="1"/>
  <c r="AA66" i="1"/>
  <c r="AD66" i="1" s="1"/>
  <c r="AC65" i="1"/>
  <c r="AB65" i="1"/>
  <c r="AA65" i="1"/>
  <c r="AD65" i="1" s="1"/>
  <c r="AC64" i="1"/>
  <c r="AB64" i="1"/>
  <c r="AA64" i="1"/>
  <c r="AD64" i="1" s="1"/>
  <c r="AC63" i="1"/>
  <c r="AB63" i="1"/>
  <c r="AA63" i="1"/>
  <c r="AD63" i="1" s="1"/>
  <c r="AC62" i="1"/>
  <c r="AB62" i="1"/>
  <c r="AA62" i="1"/>
  <c r="AD62" i="1" s="1"/>
  <c r="AC61" i="1"/>
  <c r="AB61" i="1"/>
  <c r="AA61" i="1"/>
  <c r="AD61" i="1" s="1"/>
  <c r="AC60" i="1"/>
  <c r="AB60" i="1"/>
  <c r="AA60" i="1"/>
  <c r="AD60" i="1" s="1"/>
  <c r="AC59" i="1"/>
  <c r="AB59" i="1"/>
  <c r="AA59" i="1"/>
  <c r="AD59" i="1" s="1"/>
  <c r="AC58" i="1"/>
  <c r="AB58" i="1"/>
  <c r="AA58" i="1"/>
  <c r="AD58" i="1" s="1"/>
  <c r="AC57" i="1"/>
  <c r="AB57" i="1"/>
  <c r="AA57" i="1"/>
  <c r="AD57" i="1" s="1"/>
  <c r="AC56" i="1"/>
  <c r="AB56" i="1"/>
  <c r="AA56" i="1"/>
  <c r="AD56" i="1" s="1"/>
  <c r="AC55" i="1"/>
  <c r="AB55" i="1"/>
  <c r="AA55" i="1"/>
  <c r="AD55" i="1" s="1"/>
  <c r="AC54" i="1"/>
  <c r="AB54" i="1"/>
  <c r="AA54" i="1"/>
  <c r="AD54" i="1" s="1"/>
  <c r="AC53" i="1"/>
  <c r="AB53" i="1"/>
  <c r="AA53" i="1"/>
  <c r="AD53" i="1" s="1"/>
  <c r="AC52" i="1"/>
  <c r="AB52" i="1"/>
  <c r="AA52" i="1"/>
  <c r="AD52" i="1" s="1"/>
  <c r="AC51" i="1"/>
  <c r="AB51" i="1"/>
  <c r="AA51" i="1"/>
  <c r="AD51" i="1" s="1"/>
  <c r="AC50" i="1"/>
  <c r="AB50" i="1"/>
  <c r="AA50" i="1"/>
  <c r="AD50" i="1" s="1"/>
  <c r="AC49" i="1"/>
  <c r="AB49" i="1"/>
  <c r="AA49" i="1"/>
  <c r="AD49" i="1" s="1"/>
  <c r="AC48" i="1"/>
  <c r="AB48" i="1"/>
  <c r="AA48" i="1"/>
  <c r="AD48" i="1" s="1"/>
  <c r="AC47" i="1"/>
  <c r="AB47" i="1"/>
  <c r="AA47" i="1"/>
  <c r="AD47" i="1" s="1"/>
  <c r="AC46" i="1"/>
  <c r="AB46" i="1"/>
  <c r="AA46" i="1"/>
  <c r="AD46" i="1" s="1"/>
  <c r="AC45" i="1"/>
  <c r="AB45" i="1"/>
  <c r="AA45" i="1"/>
  <c r="AD45" i="1" s="1"/>
  <c r="AC44" i="1"/>
  <c r="AB44" i="1"/>
  <c r="AA44" i="1"/>
  <c r="AD44" i="1" s="1"/>
  <c r="AC43" i="1"/>
  <c r="AB43" i="1"/>
  <c r="AA43" i="1"/>
  <c r="AD43" i="1" s="1"/>
  <c r="AC42" i="1"/>
  <c r="AB42" i="1"/>
  <c r="AA42" i="1"/>
  <c r="AD42" i="1" s="1"/>
  <c r="AC41" i="1"/>
  <c r="AB41" i="1"/>
  <c r="AA41" i="1"/>
  <c r="AD41" i="1" s="1"/>
  <c r="AC40" i="1"/>
  <c r="AB40" i="1"/>
  <c r="AA40" i="1"/>
  <c r="AD40" i="1" s="1"/>
  <c r="AC39" i="1"/>
  <c r="AB39" i="1"/>
  <c r="AA39" i="1"/>
  <c r="AD39" i="1" s="1"/>
  <c r="AC38" i="1"/>
  <c r="AB38" i="1"/>
  <c r="AA38" i="1"/>
  <c r="AD38" i="1" s="1"/>
  <c r="AC37" i="1"/>
  <c r="AB37" i="1"/>
  <c r="AA37" i="1"/>
  <c r="AD37" i="1" s="1"/>
  <c r="AC36" i="1"/>
  <c r="AB36" i="1"/>
  <c r="AA36" i="1"/>
  <c r="AD36" i="1" s="1"/>
  <c r="AC35" i="1"/>
  <c r="AB35" i="1"/>
  <c r="AA35" i="1"/>
  <c r="AD35" i="1" s="1"/>
  <c r="AC34" i="1"/>
  <c r="AB34" i="1"/>
  <c r="AA34" i="1"/>
  <c r="AD34" i="1" s="1"/>
  <c r="AC33" i="1"/>
  <c r="AB33" i="1"/>
  <c r="AA33" i="1"/>
  <c r="AD33" i="1" s="1"/>
  <c r="AC32" i="1"/>
  <c r="AB32" i="1"/>
  <c r="AA32" i="1"/>
  <c r="AD32" i="1" s="1"/>
  <c r="AC31" i="1"/>
  <c r="AB31" i="1"/>
  <c r="AA31" i="1"/>
  <c r="AD31" i="1" s="1"/>
  <c r="AC30" i="1"/>
  <c r="AB30" i="1"/>
  <c r="AA30" i="1"/>
  <c r="AD30" i="1" s="1"/>
  <c r="AC29" i="1"/>
  <c r="AB29" i="1"/>
  <c r="AA29" i="1"/>
  <c r="AD29" i="1" s="1"/>
  <c r="AC28" i="1"/>
  <c r="AB28" i="1"/>
  <c r="AA28" i="1"/>
  <c r="AD28" i="1" s="1"/>
  <c r="AC27" i="1"/>
  <c r="AB27" i="1"/>
  <c r="AA27" i="1"/>
  <c r="AD27" i="1" s="1"/>
  <c r="AC26" i="1"/>
  <c r="AB26" i="1"/>
  <c r="AA26" i="1"/>
  <c r="AD26" i="1" s="1"/>
  <c r="AC25" i="1"/>
  <c r="AB25" i="1"/>
  <c r="AA25" i="1"/>
  <c r="AD25" i="1" s="1"/>
  <c r="AC24" i="1"/>
  <c r="AB24" i="1"/>
  <c r="AA24" i="1"/>
  <c r="AD24" i="1" s="1"/>
  <c r="AC23" i="1"/>
  <c r="AB23" i="1"/>
  <c r="AA23" i="1"/>
  <c r="AD23" i="1" s="1"/>
  <c r="AC22" i="1"/>
  <c r="AB22" i="1"/>
  <c r="AA22" i="1"/>
  <c r="AD22" i="1" s="1"/>
  <c r="AC21" i="1"/>
  <c r="AB21" i="1"/>
  <c r="AA21" i="1"/>
  <c r="AD21" i="1" s="1"/>
  <c r="AC20" i="1"/>
  <c r="AB20" i="1"/>
  <c r="AA20" i="1"/>
  <c r="AD20" i="1" s="1"/>
  <c r="AC19" i="1"/>
  <c r="AB19" i="1"/>
  <c r="AA19" i="1"/>
  <c r="AD19" i="1" s="1"/>
  <c r="AC18" i="1"/>
  <c r="AB18" i="1"/>
  <c r="AA18" i="1"/>
  <c r="AD18" i="1" s="1"/>
  <c r="AC17" i="1"/>
  <c r="E45" i="3" s="1"/>
  <c r="AB17" i="1"/>
  <c r="AA17" i="1"/>
  <c r="AD17" i="1" s="1"/>
  <c r="AC16" i="1"/>
  <c r="B38" i="3" s="1"/>
  <c r="AB16" i="1"/>
  <c r="AA16" i="1"/>
  <c r="AD16" i="1" s="1"/>
  <c r="AC15" i="1"/>
  <c r="AB15" i="1"/>
  <c r="AA15" i="1"/>
  <c r="AD15" i="1" s="1"/>
  <c r="AC14" i="1"/>
  <c r="AB14" i="1"/>
  <c r="AA14" i="1"/>
  <c r="AD14" i="1" s="1"/>
  <c r="AC13" i="1"/>
  <c r="AB13" i="1"/>
  <c r="AA13" i="1"/>
  <c r="AD13" i="1" s="1"/>
  <c r="AC12" i="1"/>
  <c r="AB12" i="1"/>
  <c r="AA12" i="1"/>
  <c r="AD12" i="1" s="1"/>
  <c r="AC11" i="1"/>
  <c r="E28" i="3" s="1"/>
  <c r="AB11" i="1"/>
  <c r="AA11" i="1"/>
  <c r="AD11" i="1" s="1"/>
  <c r="AC10" i="1"/>
  <c r="AB10" i="1"/>
  <c r="AA10" i="1"/>
  <c r="AD10" i="1" s="1"/>
  <c r="AC9" i="1"/>
  <c r="E12" i="3" s="1"/>
  <c r="AB9" i="1"/>
  <c r="AA9" i="1"/>
  <c r="AD9" i="1" s="1"/>
  <c r="AC8" i="1"/>
  <c r="AB8" i="1"/>
  <c r="AA8" i="1"/>
  <c r="AD8" i="1" s="1"/>
  <c r="AC7" i="1"/>
  <c r="B6" i="3" s="1"/>
  <c r="AB7" i="1"/>
  <c r="AA7" i="1"/>
  <c r="AD7" i="1" s="1"/>
  <c r="AC6" i="1"/>
  <c r="AB6" i="1"/>
  <c r="AA6" i="1"/>
  <c r="AD6" i="1" s="1"/>
  <c r="AC5" i="1"/>
  <c r="E22" i="3" s="1"/>
  <c r="AB5" i="1"/>
  <c r="AA5" i="1"/>
  <c r="AC4" i="1"/>
  <c r="AB4" i="1"/>
  <c r="AA4" i="1"/>
  <c r="AD4" i="1" s="1"/>
  <c r="AC3" i="1"/>
  <c r="B22" i="3" s="1"/>
  <c r="AB3" i="1"/>
  <c r="AA3" i="1"/>
  <c r="AD3" i="1" s="1"/>
  <c r="AC2" i="1"/>
  <c r="B5" i="3" s="1"/>
  <c r="AB2" i="1"/>
  <c r="AA2" i="1"/>
  <c r="AD2" i="1" s="1"/>
  <c r="AD5" i="1" l="1"/>
  <c r="A35" i="2" s="1"/>
  <c r="B35" i="2" s="1"/>
  <c r="A26" i="2" l="1"/>
  <c r="B26" i="2" s="1"/>
  <c r="A8" i="2"/>
  <c r="B8" i="2" s="1"/>
  <c r="A29" i="2"/>
  <c r="B29" i="2" s="1"/>
  <c r="A10" i="2"/>
  <c r="B10" i="2" s="1"/>
  <c r="A4" i="2"/>
  <c r="B4" i="2" s="1"/>
  <c r="A11" i="2"/>
  <c r="B11" i="2" s="1"/>
  <c r="A12" i="2"/>
  <c r="B12" i="2" s="1"/>
  <c r="A20" i="2"/>
  <c r="B20" i="2" s="1"/>
  <c r="A31" i="2"/>
  <c r="B31" i="2" s="1"/>
  <c r="A9" i="2"/>
  <c r="B9" i="2" s="1"/>
  <c r="A13" i="2"/>
  <c r="B13" i="2" s="1"/>
  <c r="A24" i="2"/>
  <c r="B24" i="2" s="1"/>
  <c r="A37" i="2"/>
  <c r="B37" i="2" s="1"/>
  <c r="A25" i="2"/>
  <c r="B25" i="2" s="1"/>
  <c r="A18" i="2"/>
  <c r="B18" i="2" s="1"/>
  <c r="A34" i="2"/>
  <c r="B34" i="2" s="1"/>
  <c r="A39" i="2"/>
  <c r="B39" i="2" s="1"/>
  <c r="A7" i="2"/>
  <c r="B7" i="2" s="1"/>
  <c r="A15" i="2"/>
  <c r="B15" i="2" s="1"/>
  <c r="A23" i="2"/>
  <c r="B23" i="2" s="1"/>
  <c r="A28" i="2"/>
  <c r="B28" i="2" s="1"/>
  <c r="A33" i="2"/>
  <c r="B33" i="2" s="1"/>
  <c r="A5" i="2"/>
  <c r="B5" i="2" s="1"/>
  <c r="A21" i="2"/>
  <c r="B21" i="2" s="1"/>
  <c r="A32" i="2"/>
  <c r="B32" i="2" s="1"/>
  <c r="A38" i="2"/>
  <c r="B38" i="2" s="1"/>
  <c r="A16" i="2"/>
  <c r="B16" i="2" s="1"/>
  <c r="A17" i="2"/>
  <c r="B17" i="2" s="1"/>
  <c r="A6" i="2"/>
  <c r="B6" i="2" s="1"/>
  <c r="A19" i="2"/>
  <c r="B19" i="2" s="1"/>
  <c r="A14" i="2"/>
  <c r="B14" i="2" s="1"/>
  <c r="A36" i="2"/>
  <c r="B36" i="2" s="1"/>
  <c r="A22" i="2"/>
  <c r="B22" i="2" s="1"/>
  <c r="A27" i="2"/>
  <c r="B27" i="2" s="1"/>
  <c r="A30" i="2"/>
  <c r="B30" i="2" s="1"/>
  <c r="B40" i="2" l="1"/>
</calcChain>
</file>

<file path=xl/sharedStrings.xml><?xml version="1.0" encoding="utf-8"?>
<sst xmlns="http://schemas.openxmlformats.org/spreadsheetml/2006/main" count="190" uniqueCount="176">
  <si>
    <t>Stage Box Input</t>
  </si>
  <si>
    <t>SatBox#</t>
  </si>
  <si>
    <t>Desk Ch#</t>
  </si>
  <si>
    <t>Item</t>
  </si>
  <si>
    <t>Mic/DI</t>
  </si>
  <si>
    <t>Stand</t>
  </si>
  <si>
    <t>Position</t>
  </si>
  <si>
    <t>Notes</t>
  </si>
  <si>
    <t>Mic/DI Helper</t>
  </si>
  <si>
    <t>Stand Helper</t>
  </si>
  <si>
    <t>Item Helper</t>
  </si>
  <si>
    <t>SB1 in01</t>
  </si>
  <si>
    <t>R1</t>
  </si>
  <si>
    <t xml:space="preserve">Drum or instrument </t>
  </si>
  <si>
    <t>SB1 in02</t>
  </si>
  <si>
    <t>B3</t>
  </si>
  <si>
    <t>Vocal for vocalist</t>
  </si>
  <si>
    <t>SB1 in03</t>
  </si>
  <si>
    <t>SB1 in04</t>
  </si>
  <si>
    <t>y3</t>
  </si>
  <si>
    <t>doug</t>
  </si>
  <si>
    <t>sm58</t>
  </si>
  <si>
    <t>tall</t>
  </si>
  <si>
    <t>SB1 in05</t>
  </si>
  <si>
    <t>SB1 in06</t>
  </si>
  <si>
    <t>SB1 in07</t>
  </si>
  <si>
    <t>SB1 in08</t>
  </si>
  <si>
    <t>G8</t>
  </si>
  <si>
    <t>Example 3</t>
  </si>
  <si>
    <t>SB1 in09</t>
  </si>
  <si>
    <t>SB1 in10</t>
  </si>
  <si>
    <t>Y9</t>
  </si>
  <si>
    <t>Example 4</t>
  </si>
  <si>
    <t>SB1 in11</t>
  </si>
  <si>
    <t>SB1 in12</t>
  </si>
  <si>
    <t>SB1 in13</t>
  </si>
  <si>
    <t>SB1 in14</t>
  </si>
  <si>
    <t>SB1 in15</t>
  </si>
  <si>
    <t>O4</t>
  </si>
  <si>
    <t>Example 5</t>
  </si>
  <si>
    <t>SB1 in16</t>
  </si>
  <si>
    <t>P11</t>
  </si>
  <si>
    <t>Example 6</t>
  </si>
  <si>
    <t>SB1 in17</t>
  </si>
  <si>
    <t>SB1 in18</t>
  </si>
  <si>
    <t>SB1 in19</t>
  </si>
  <si>
    <t>SB1 in20</t>
  </si>
  <si>
    <t>SB1 in21</t>
  </si>
  <si>
    <t>SB1 in22</t>
  </si>
  <si>
    <t>SB1 in23</t>
  </si>
  <si>
    <t>SB1 in24</t>
  </si>
  <si>
    <t>SB1 in25</t>
  </si>
  <si>
    <t>SB1 in26</t>
  </si>
  <si>
    <t>SB1 in27</t>
  </si>
  <si>
    <t>SB1 in28</t>
  </si>
  <si>
    <t>SB1 in29</t>
  </si>
  <si>
    <t>SB1 in30</t>
  </si>
  <si>
    <t>SB1 in31</t>
  </si>
  <si>
    <t>SB1 in32</t>
  </si>
  <si>
    <t>SB1 in33</t>
  </si>
  <si>
    <t>SB1 in34</t>
  </si>
  <si>
    <t>SB1 in35</t>
  </si>
  <si>
    <t>SB1 in36</t>
  </si>
  <si>
    <t>SB1 in37</t>
  </si>
  <si>
    <t>SB1 in38</t>
  </si>
  <si>
    <t>SB1 in39</t>
  </si>
  <si>
    <t>SB1 in40</t>
  </si>
  <si>
    <t>SB1 in41</t>
  </si>
  <si>
    <t>SB1 in42</t>
  </si>
  <si>
    <t>SB1 in43</t>
  </si>
  <si>
    <t>SB1 in44</t>
  </si>
  <si>
    <t>SB1 in45</t>
  </si>
  <si>
    <t>SB1 in46</t>
  </si>
  <si>
    <t>SB1 in47</t>
  </si>
  <si>
    <t>SB1 in48</t>
  </si>
  <si>
    <t>Additional Stands</t>
  </si>
  <si>
    <t>Qty</t>
  </si>
  <si>
    <t>Tall Stands</t>
  </si>
  <si>
    <t>Short Stands</t>
  </si>
  <si>
    <t>Round Bases</t>
  </si>
  <si>
    <t>Stand Total Count</t>
  </si>
  <si>
    <t>(AUTO Filled from Channel list)</t>
  </si>
  <si>
    <t>Full Mic List</t>
  </si>
  <si>
    <t>Mic</t>
  </si>
  <si>
    <t>Quantity</t>
  </si>
  <si>
    <t>Total</t>
  </si>
  <si>
    <t>Auto-populated from Channel List</t>
  </si>
  <si>
    <t>Red (1)</t>
  </si>
  <si>
    <t>Lable</t>
  </si>
  <si>
    <t>Green (2)</t>
  </si>
  <si>
    <t>G1</t>
  </si>
  <si>
    <t>R2</t>
  </si>
  <si>
    <t>G2</t>
  </si>
  <si>
    <t>R3</t>
  </si>
  <si>
    <t>G3</t>
  </si>
  <si>
    <t>R4</t>
  </si>
  <si>
    <t>G4</t>
  </si>
  <si>
    <t>R5</t>
  </si>
  <si>
    <t>G5</t>
  </si>
  <si>
    <t>R6</t>
  </si>
  <si>
    <t>G6</t>
  </si>
  <si>
    <t>R7</t>
  </si>
  <si>
    <t>G7</t>
  </si>
  <si>
    <t>R8</t>
  </si>
  <si>
    <t>R9</t>
  </si>
  <si>
    <t>G9</t>
  </si>
  <si>
    <t>R10</t>
  </si>
  <si>
    <t>G10</t>
  </si>
  <si>
    <t>R11</t>
  </si>
  <si>
    <t>G11</t>
  </si>
  <si>
    <t>R12</t>
  </si>
  <si>
    <t>G12</t>
  </si>
  <si>
    <t>Blue (3)</t>
  </si>
  <si>
    <t>Yellow (4)</t>
  </si>
  <si>
    <t>B1</t>
  </si>
  <si>
    <t>Y1</t>
  </si>
  <si>
    <t>B2</t>
  </si>
  <si>
    <t>Y2</t>
  </si>
  <si>
    <t>Y3</t>
  </si>
  <si>
    <t>B4</t>
  </si>
  <si>
    <t>Y4</t>
  </si>
  <si>
    <t>B5</t>
  </si>
  <si>
    <t>Y5</t>
  </si>
  <si>
    <t>B6</t>
  </si>
  <si>
    <t>Y6</t>
  </si>
  <si>
    <t>B7</t>
  </si>
  <si>
    <t>Y7</t>
  </si>
  <si>
    <t>B8</t>
  </si>
  <si>
    <t>Y8</t>
  </si>
  <si>
    <t>B9</t>
  </si>
  <si>
    <t>B10</t>
  </si>
  <si>
    <t>Y10</t>
  </si>
  <si>
    <t>B11</t>
  </si>
  <si>
    <t>Y11</t>
  </si>
  <si>
    <t>B12</t>
  </si>
  <si>
    <t>Y12</t>
  </si>
  <si>
    <t>Orange (5)</t>
  </si>
  <si>
    <t>Purple (6)</t>
  </si>
  <si>
    <t>O1</t>
  </si>
  <si>
    <t>P1</t>
  </si>
  <si>
    <t>O2</t>
  </si>
  <si>
    <t>P2</t>
  </si>
  <si>
    <t>O3</t>
  </si>
  <si>
    <t>P3</t>
  </si>
  <si>
    <t>P4</t>
  </si>
  <si>
    <t>O5</t>
  </si>
  <si>
    <t>P5</t>
  </si>
  <si>
    <t>O6</t>
  </si>
  <si>
    <t>P6</t>
  </si>
  <si>
    <t>O7</t>
  </si>
  <si>
    <t>P7</t>
  </si>
  <si>
    <t>O8</t>
  </si>
  <si>
    <t>P8</t>
  </si>
  <si>
    <t>O9</t>
  </si>
  <si>
    <t>P9</t>
  </si>
  <si>
    <t>O10</t>
  </si>
  <si>
    <t>P10</t>
  </si>
  <si>
    <t>O11</t>
  </si>
  <si>
    <t>O12</t>
  </si>
  <si>
    <t>P12</t>
  </si>
  <si>
    <t>Use this sheet as the final pack checklist and add quantities manually as needed</t>
  </si>
  <si>
    <t>Type</t>
  </si>
  <si>
    <t>Pack Where?</t>
  </si>
  <si>
    <t>examples….</t>
  </si>
  <si>
    <t>Case</t>
  </si>
  <si>
    <t>Tour Draws Case</t>
  </si>
  <si>
    <t>Mics</t>
  </si>
  <si>
    <t>As per Mic Pick List</t>
  </si>
  <si>
    <t>Lots</t>
  </si>
  <si>
    <t>Tour Draws Case: Draws 1-4</t>
  </si>
  <si>
    <t>Mic Pick List</t>
  </si>
  <si>
    <t>round</t>
  </si>
  <si>
    <t>b57</t>
  </si>
  <si>
    <t>r2</t>
  </si>
  <si>
    <t>test</t>
  </si>
  <si>
    <t>SatBox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</si>
</sst>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sz val="12"/>
      <color theme="0" tint="-0.249977111117893"/>
      <name val="Calibri"/>
      <family val="2"/>
      <charset val="1"/>
    </font>
    <font>
      <b/>
      <sz val="22"/>
      <color rgb="FFFFFFFF"/>
      <name val="Aptos"/>
    </font>
    <font>
      <i/>
      <sz val="10"/>
      <color rgb="FF5F6B7A"/>
      <name val="Aptos"/>
    </font>
    <font>
      <b/>
      <sz val="10"/>
      <color rgb="FFFFFFFF"/>
      <name val="Aptos"/>
    </font>
    <font>
      <b/>
      <sz val="12"/>
      <color theme="1"/>
      <name val="Calibri"/>
      <family val="2"/>
      <charset val="1"/>
    </font>
    <font>
      <b/>
      <sz val="12"/>
      <color theme="0" tint="-0.249977111117893"/>
      <name val="Calibri"/>
      <family val="2"/>
      <charset val="1"/>
    </font>
    <font>
      <sz val="10"/>
      <color rgb="FF243447"/>
      <name val="Aptos"/>
    </font>
    <font>
      <sz val="12"/>
      <color theme="1"/>
      <name val="Calibri"/>
      <family val="2"/>
      <charset val="1"/>
    </font>
    <font>
      <b/>
      <sz val="10"/>
      <color rgb="FF243447"/>
      <name val="Aptos"/>
    </font>
    <font>
      <b/>
      <sz val="16"/>
      <color rgb="FFFFFFFF"/>
      <name val="Aptos"/>
    </font>
    <font>
      <b/>
      <sz val="12"/>
      <color rgb="FF17324D"/>
      <name val="Aptos"/>
    </font>
    <font>
      <b/>
      <sz val="18"/>
      <color rgb="FFFFFFFF"/>
      <name val="Aptos"/>
    </font>
    <font>
      <b/>
      <sz val="11"/>
      <name val="Calibri"/>
      <family val="2"/>
      <charset val="1"/>
    </font>
    <font>
      <b/>
      <sz val="10"/>
      <color rgb="FF17324D"/>
      <name val="Aptos"/>
    </font>
  </fonts>
  <fills count="26">
    <fill>
      <patternFill patternType="none"/>
    </fill>
    <fill>
      <patternFill patternType="gray125"/>
    </fill>
    <fill>
      <patternFill patternType="solid">
        <fgColor rgb="FF17324D"/>
        <bgColor rgb="FF243447"/>
      </patternFill>
    </fill>
    <fill>
      <patternFill patternType="solid">
        <fgColor rgb="FFF5F7FA"/>
        <bgColor rgb="FFF6F8FA"/>
      </patternFill>
    </fill>
    <fill>
      <patternFill patternType="solid">
        <fgColor rgb="FF244A6B"/>
        <bgColor rgb="FF243447"/>
      </patternFill>
    </fill>
    <fill>
      <patternFill patternType="solid">
        <fgColor rgb="FFFBFDFF"/>
        <bgColor rgb="FFF8FBFD"/>
      </patternFill>
    </fill>
    <fill>
      <patternFill patternType="solid">
        <fgColor rgb="FFF3F6F9"/>
        <bgColor rgb="FFF5F7FA"/>
      </patternFill>
    </fill>
    <fill>
      <patternFill patternType="solid">
        <fgColor rgb="FFEDF2F6"/>
        <bgColor rgb="FFEAF3FB"/>
      </patternFill>
    </fill>
    <fill>
      <patternFill patternType="solid">
        <fgColor rgb="FFF4F9FE"/>
        <bgColor rgb="FFF6F8FA"/>
      </patternFill>
    </fill>
    <fill>
      <patternFill patternType="solid">
        <fgColor rgb="FFDFF1F3"/>
        <bgColor rgb="FFE8F4EF"/>
      </patternFill>
    </fill>
    <fill>
      <patternFill patternType="solid">
        <fgColor rgb="FF2F7F87"/>
        <bgColor rgb="FF5F6B7A"/>
      </patternFill>
    </fill>
    <fill>
      <patternFill patternType="solid">
        <fgColor rgb="FFE8F4EF"/>
        <bgColor rgb="FFE8F2EA"/>
      </patternFill>
    </fill>
    <fill>
      <patternFill patternType="solid">
        <fgColor rgb="FFF7FCFD"/>
        <bgColor rgb="FFF8FBFD"/>
      </patternFill>
    </fill>
    <fill>
      <patternFill patternType="solid">
        <fgColor rgb="FFFFFFFF"/>
        <bgColor rgb="FFFBFDFF"/>
      </patternFill>
    </fill>
    <fill>
      <patternFill patternType="solid">
        <fgColor rgb="FFF7FAFC"/>
        <bgColor rgb="FFF8FBFD"/>
      </patternFill>
    </fill>
    <fill>
      <patternFill patternType="solid">
        <fgColor rgb="FFE5EAF0"/>
        <bgColor rgb="FFDCEAF7"/>
      </patternFill>
    </fill>
    <fill>
      <patternFill patternType="solid">
        <fgColor rgb="FFF4CDD4"/>
        <bgColor rgb="FFFFC7CE"/>
      </patternFill>
    </fill>
    <fill>
      <patternFill patternType="solid">
        <fgColor rgb="FFE8F2EA"/>
        <bgColor rgb="FFE8F4EF"/>
      </patternFill>
    </fill>
    <fill>
      <patternFill patternType="solid">
        <fgColor rgb="FFF6F8FA"/>
        <bgColor rgb="FFF5F7FA"/>
      </patternFill>
    </fill>
    <fill>
      <patternFill patternType="solid">
        <fgColor rgb="FFDCEAF7"/>
        <bgColor rgb="FFE5EAF0"/>
      </patternFill>
    </fill>
    <fill>
      <patternFill patternType="solid">
        <fgColor rgb="FFFFFFC3"/>
        <bgColor rgb="FFFFFDF7"/>
      </patternFill>
    </fill>
    <fill>
      <patternFill patternType="solid">
        <fgColor rgb="FFF1E0D1"/>
        <bgColor rgb="FFF5E8D0"/>
      </patternFill>
    </fill>
    <fill>
      <patternFill patternType="solid">
        <fgColor rgb="FFEFE3F7"/>
        <bgColor rgb="FFE5EAF0"/>
      </patternFill>
    </fill>
    <fill>
      <patternFill patternType="solid">
        <fgColor rgb="FFF8FBFD"/>
        <bgColor rgb="FFF7FCFD"/>
      </patternFill>
    </fill>
    <fill>
      <patternFill patternType="solid">
        <fgColor rgb="FFF5E8D0"/>
        <bgColor rgb="FFF1E0D1"/>
      </patternFill>
    </fill>
    <fill>
      <patternFill patternType="solid">
        <fgColor rgb="FFFFFDF7"/>
        <bgColor rgb="FFFFFFFF"/>
      </patternFill>
    </fill>
  </fills>
  <borders count="8">
    <border>
      <left/>
      <right/>
      <top/>
      <bottom/>
      <diagonal/>
    </border>
    <border>
      <left/>
      <right/>
      <top/>
      <bottom style="medium">
        <color rgb="FF17324D"/>
      </bottom>
      <diagonal/>
    </border>
    <border>
      <left style="thin">
        <color rgb="FFC7D0D9"/>
      </left>
      <right style="thin">
        <color rgb="FFC7D0D9"/>
      </right>
      <top style="thin">
        <color rgb="FFC7D0D9"/>
      </top>
      <bottom style="thin">
        <color rgb="FFC7D0D9"/>
      </bottom>
      <diagonal/>
    </border>
    <border>
      <left/>
      <right/>
      <top style="medium">
        <color rgb="FF2F7F87"/>
      </top>
      <bottom style="thin">
        <color rgb="FFC7D0D9"/>
      </bottom>
      <diagonal/>
    </border>
    <border>
      <left style="medium">
        <color rgb="FF244A6B"/>
      </left>
      <right style="medium">
        <color rgb="FF244A6B"/>
      </right>
      <top style="medium">
        <color rgb="FF244A6B"/>
      </top>
      <bottom style="thin">
        <color rgb="FFD0D7DE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medium">
        <color rgb="FF17324D"/>
      </top>
      <bottom style="thin">
        <color rgb="FFC7D0D9"/>
      </bottom>
      <diagonal/>
    </border>
    <border>
      <left/>
      <right/>
      <top/>
      <bottom style="thin">
        <color rgb="FFC7D0D9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3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/>
    <xf numFmtId="0" fontId="3" fillId="3" borderId="0" xfId="0" applyFont="1" applyFill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7" fillId="5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8" fillId="0" borderId="0" xfId="0" applyFont="1"/>
    <xf numFmtId="0" fontId="1" fillId="0" borderId="0" xfId="0" applyFont="1" applyAlignment="1">
      <alignment horizontal="center"/>
    </xf>
    <xf numFmtId="0" fontId="7" fillId="7" borderId="2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left" vertical="center" wrapText="1"/>
    </xf>
    <xf numFmtId="0" fontId="9" fillId="9" borderId="3" xfId="0" applyFont="1" applyFill="1" applyBorder="1" applyAlignment="1">
      <alignment horizontal="left" vertical="center" wrapText="1"/>
    </xf>
    <xf numFmtId="0" fontId="10" fillId="10" borderId="4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7" fillId="11" borderId="2" xfId="0" applyFont="1" applyFill="1" applyBorder="1" applyAlignment="1">
      <alignment horizontal="left" vertical="center" wrapText="1"/>
    </xf>
    <xf numFmtId="0" fontId="9" fillId="9" borderId="5" xfId="0" applyFont="1" applyFill="1" applyBorder="1" applyAlignment="1">
      <alignment horizontal="left" vertical="center"/>
    </xf>
    <xf numFmtId="1" fontId="11" fillId="12" borderId="5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9" fillId="11" borderId="0" xfId="0" applyFont="1" applyFill="1" applyAlignment="1">
      <alignment horizontal="center" vertical="center" wrapText="1"/>
    </xf>
    <xf numFmtId="0" fontId="9" fillId="9" borderId="2" xfId="0" applyFont="1" applyFill="1" applyBorder="1" applyAlignment="1">
      <alignment horizontal="left" vertical="center" wrapText="1"/>
    </xf>
    <xf numFmtId="0" fontId="11" fillId="12" borderId="2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7" fillId="13" borderId="2" xfId="0" applyFont="1" applyFill="1" applyBorder="1" applyAlignment="1">
      <alignment horizontal="left" vertical="center" wrapText="1"/>
    </xf>
    <xf numFmtId="0" fontId="7" fillId="13" borderId="2" xfId="0" applyFont="1" applyFill="1" applyBorder="1" applyAlignment="1">
      <alignment horizontal="center" vertical="center" wrapText="1"/>
    </xf>
    <xf numFmtId="0" fontId="7" fillId="14" borderId="2" xfId="0" applyFont="1" applyFill="1" applyBorder="1" applyAlignment="1">
      <alignment horizontal="left" vertical="center" wrapText="1"/>
    </xf>
    <xf numFmtId="0" fontId="7" fillId="14" borderId="2" xfId="0" applyFont="1" applyFill="1" applyBorder="1" applyAlignment="1">
      <alignment horizontal="center" vertical="center" wrapText="1"/>
    </xf>
    <xf numFmtId="0" fontId="9" fillId="15" borderId="6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16" borderId="2" xfId="0" applyFont="1" applyFill="1" applyBorder="1" applyAlignment="1">
      <alignment horizontal="center" vertical="center" wrapText="1"/>
    </xf>
    <xf numFmtId="0" fontId="14" fillId="17" borderId="2" xfId="0" applyFont="1" applyFill="1" applyBorder="1" applyAlignment="1">
      <alignment horizontal="center" vertical="center" wrapText="1"/>
    </xf>
    <xf numFmtId="0" fontId="7" fillId="16" borderId="2" xfId="0" applyFont="1" applyFill="1" applyBorder="1" applyAlignment="1">
      <alignment horizontal="right" vertical="center" wrapText="1"/>
    </xf>
    <xf numFmtId="0" fontId="7" fillId="17" borderId="2" xfId="0" applyFont="1" applyFill="1" applyBorder="1" applyAlignment="1">
      <alignment horizontal="right" vertical="center" wrapText="1"/>
    </xf>
    <xf numFmtId="0" fontId="7" fillId="18" borderId="2" xfId="0" applyFont="1" applyFill="1" applyBorder="1" applyAlignment="1">
      <alignment horizontal="left" vertical="center" wrapText="1"/>
    </xf>
    <xf numFmtId="0" fontId="14" fillId="19" borderId="2" xfId="0" applyFont="1" applyFill="1" applyBorder="1" applyAlignment="1">
      <alignment horizontal="center" vertical="center" wrapText="1"/>
    </xf>
    <xf numFmtId="0" fontId="14" fillId="20" borderId="2" xfId="0" applyFont="1" applyFill="1" applyBorder="1" applyAlignment="1">
      <alignment horizontal="center" vertical="center" wrapText="1"/>
    </xf>
    <xf numFmtId="0" fontId="7" fillId="19" borderId="2" xfId="0" applyFont="1" applyFill="1" applyBorder="1" applyAlignment="1">
      <alignment horizontal="right" vertical="center" wrapText="1"/>
    </xf>
    <xf numFmtId="0" fontId="7" fillId="20" borderId="2" xfId="0" applyFont="1" applyFill="1" applyBorder="1" applyAlignment="1">
      <alignment horizontal="right" vertical="center" wrapText="1"/>
    </xf>
    <xf numFmtId="0" fontId="14" fillId="21" borderId="2" xfId="0" applyFont="1" applyFill="1" applyBorder="1" applyAlignment="1">
      <alignment horizontal="center" vertical="center" wrapText="1"/>
    </xf>
    <xf numFmtId="0" fontId="14" fillId="22" borderId="2" xfId="0" applyFont="1" applyFill="1" applyBorder="1" applyAlignment="1">
      <alignment horizontal="center" vertical="center" wrapText="1"/>
    </xf>
    <xf numFmtId="0" fontId="7" fillId="21" borderId="2" xfId="0" applyFont="1" applyFill="1" applyBorder="1" applyAlignment="1">
      <alignment horizontal="right" vertical="center" wrapText="1"/>
    </xf>
    <xf numFmtId="0" fontId="7" fillId="22" borderId="2" xfId="0" applyFont="1" applyFill="1" applyBorder="1" applyAlignment="1">
      <alignment horizontal="right" vertical="center" wrapText="1"/>
    </xf>
    <xf numFmtId="0" fontId="7" fillId="23" borderId="2" xfId="0" applyFont="1" applyFill="1" applyBorder="1" applyAlignment="1">
      <alignment horizontal="left" vertical="center" wrapText="1"/>
    </xf>
    <xf numFmtId="0" fontId="7" fillId="23" borderId="2" xfId="0" applyFont="1" applyFill="1" applyBorder="1" applyAlignment="1">
      <alignment horizontal="center" vertical="center" wrapText="1"/>
    </xf>
    <xf numFmtId="0" fontId="9" fillId="24" borderId="2" xfId="0" applyFont="1" applyFill="1" applyBorder="1" applyAlignment="1">
      <alignment horizontal="left" vertical="center" wrapText="1"/>
    </xf>
    <xf numFmtId="0" fontId="7" fillId="25" borderId="2" xfId="0" applyFont="1" applyFill="1" applyBorder="1" applyAlignment="1">
      <alignment horizontal="left" vertical="center" wrapText="1"/>
    </xf>
    <xf numFmtId="0" fontId="7" fillId="25" borderId="2" xfId="0" applyFont="1" applyFill="1" applyBorder="1" applyAlignment="1">
      <alignment horizontal="center" vertical="center" wrapText="1"/>
    </xf>
    <xf numFmtId="0" fontId="10" fillId="10" borderId="7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31">
    <dxf>
      <font>
        <color rgb="FFBFBFBF"/>
      </font>
    </dxf>
    <dxf>
      <font>
        <strike/>
        <color rgb="FFBFBFBF"/>
      </font>
    </dxf>
    <dxf>
      <font>
        <strike/>
        <color rgb="FFA6A6A6"/>
      </font>
    </dxf>
    <dxf>
      <font>
        <color rgb="FF006100"/>
      </font>
      <fill>
        <patternFill>
          <bgColor rgb="FFC6EFCE"/>
        </patternFill>
      </fill>
    </dxf>
    <dxf>
      <font>
        <color rgb="FF17324D"/>
      </font>
      <fill>
        <patternFill>
          <bgColor rgb="FFEFE3F7"/>
        </patternFill>
      </fill>
    </dxf>
    <dxf>
      <font>
        <color rgb="FF17324D"/>
      </font>
      <fill>
        <patternFill>
          <bgColor rgb="FFF1E0D1"/>
        </patternFill>
      </fill>
    </dxf>
    <dxf>
      <font>
        <color rgb="FF17324D"/>
      </font>
      <fill>
        <patternFill>
          <bgColor rgb="FFFFFFC3"/>
        </patternFill>
      </fill>
    </dxf>
    <dxf>
      <font>
        <color rgb="FF17324D"/>
      </font>
      <fill>
        <patternFill>
          <bgColor rgb="FFDCEAF7"/>
        </patternFill>
      </fill>
    </dxf>
    <dxf>
      <font>
        <color rgb="FF243447"/>
      </font>
      <fill>
        <patternFill>
          <bgColor rgb="FFE8F2EA"/>
        </patternFill>
      </fill>
    </dxf>
    <dxf>
      <font>
        <color rgb="FF243447"/>
      </font>
      <fill>
        <patternFill>
          <bgColor rgb="FFF4CDD4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theme="8" tint="0.59978026673177287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843C0B"/>
      </font>
      <fill>
        <patternFill>
          <bgColor theme="5" tint="0.59978026673177287"/>
        </patternFill>
      </fill>
    </dxf>
    <dxf>
      <font>
        <color rgb="FF441E61"/>
      </font>
      <fill>
        <patternFill>
          <bgColor rgb="FFF4D3FD"/>
        </patternFill>
      </fill>
    </dxf>
    <dxf>
      <font>
        <strike/>
        <color rgb="FFBFBFBF"/>
      </font>
    </dxf>
    <dxf>
      <font>
        <strike/>
        <color rgb="FFA6A6A6"/>
      </font>
    </dxf>
    <dxf>
      <font>
        <color rgb="FF006100"/>
      </font>
      <fill>
        <patternFill>
          <bgColor rgb="FFC6EFCE"/>
        </patternFill>
      </fill>
    </dxf>
    <dxf>
      <font>
        <color rgb="FF17324D"/>
      </font>
      <fill>
        <patternFill>
          <bgColor rgb="FFEFE3F7"/>
        </patternFill>
      </fill>
    </dxf>
    <dxf>
      <font>
        <color rgb="FF17324D"/>
      </font>
      <fill>
        <patternFill>
          <bgColor rgb="FFF1E0D1"/>
        </patternFill>
      </fill>
    </dxf>
    <dxf>
      <font>
        <color rgb="FF17324D"/>
      </font>
      <fill>
        <patternFill>
          <bgColor rgb="FFFFFFC3"/>
        </patternFill>
      </fill>
    </dxf>
    <dxf>
      <font>
        <color rgb="FF17324D"/>
      </font>
      <fill>
        <patternFill>
          <bgColor rgb="FFDCEAF7"/>
        </patternFill>
      </fill>
    </dxf>
    <dxf>
      <font>
        <color rgb="FF243447"/>
      </font>
      <fill>
        <patternFill>
          <bgColor rgb="FFE8F2EA"/>
        </patternFill>
      </fill>
    </dxf>
    <dxf>
      <font>
        <color rgb="FF243447"/>
      </font>
      <fill>
        <patternFill>
          <bgColor rgb="FFF4CDD4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2060"/>
      </font>
      <fill>
        <patternFill>
          <bgColor theme="8" tint="0.59978026673177287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843C0B"/>
      </font>
      <fill>
        <patternFill>
          <bgColor theme="5" tint="0.59978026673177287"/>
        </patternFill>
      </fill>
    </dxf>
    <dxf>
      <font>
        <color rgb="FF441E61"/>
      </font>
      <fill>
        <patternFill>
          <bgColor rgb="FFF4D3F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4F9FE"/>
      <rgbColor rgb="FF0000FF"/>
      <rgbColor rgb="FFF5E9B8"/>
      <rgbColor rgb="FFFFFDF7"/>
      <rgbColor rgb="FFE8F2EA"/>
      <rgbColor rgb="FF9C0006"/>
      <rgbColor rgb="FF006100"/>
      <rgbColor rgb="FF000080"/>
      <rgbColor rgb="FF9C5700"/>
      <rgbColor rgb="FF800080"/>
      <rgbColor rgb="FFF7FCFD"/>
      <rgbColor rgb="FFBFBFBF"/>
      <rgbColor rgb="FFEFE3F7"/>
      <rgbColor rgb="FFD0D7DE"/>
      <rgbColor rgb="FFF6F8FA"/>
      <rgbColor rgb="FFFFFFC3"/>
      <rgbColor rgb="FFDFF1F3"/>
      <rgbColor rgb="FF441E61"/>
      <rgbColor rgb="FFC97B63"/>
      <rgbColor rgb="FFFBFDFF"/>
      <rgbColor rgb="FFBDD7EE"/>
      <rgbColor rgb="FF000080"/>
      <rgbColor rgb="FFFF00FF"/>
      <rgbColor rgb="FFF5E8D0"/>
      <rgbColor rgb="FFEAF3FB"/>
      <rgbColor rgb="FF800080"/>
      <rgbColor rgb="FF800000"/>
      <rgbColor rgb="FFF8FBFD"/>
      <rgbColor rgb="FF0000FF"/>
      <rgbColor rgb="FFEDF2F6"/>
      <rgbColor rgb="FFE8F4EF"/>
      <rgbColor rgb="FFC6EFCE"/>
      <rgbColor rgb="FFFFEB9C"/>
      <rgbColor rgb="FFC7D0D9"/>
      <rgbColor rgb="FFFFC7CE"/>
      <rgbColor rgb="FFF4CDD4"/>
      <rgbColor rgb="FFF8CBAD"/>
      <rgbColor rgb="FFF5F7FA"/>
      <rgbColor rgb="FFE5EAF0"/>
      <rgbColor rgb="FFDCEAF7"/>
      <rgbColor rgb="FFF1E0D1"/>
      <rgbColor rgb="FFF4D3FD"/>
      <rgbColor rgb="FFF3F6F9"/>
      <rgbColor rgb="FF5F6B7A"/>
      <rgbColor rgb="FFA6A6A6"/>
      <rgbColor rgb="FF002060"/>
      <rgbColor rgb="FF2F7F87"/>
      <rgbColor rgb="FF17324D"/>
      <rgbColor rgb="FF333300"/>
      <rgbColor rgb="FF843C0B"/>
      <rgbColor rgb="FFF7FAFC"/>
      <rgbColor rgb="FF244A6B"/>
      <rgbColor rgb="FF24344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24D"/>
    <pageSetUpPr fitToPage="1"/>
  </sheetPr>
  <dimension ref="A1:AD101"/>
  <sheetViews>
    <sheetView showGridLines="0" zoomScale="150" zoomScaleNormal="150" workbookViewId="0">
      <selection activeCell="X7" sqref="X7"/>
    </sheetView>
  </sheetViews>
  <sheetFormatPr baseColWidth="10" defaultColWidth="11.1640625" defaultRowHeight="15.75" customHeight="1" x14ac:dyDescent="0.2"/>
  <cols>
    <col min="1" max="1" width="16" customWidth="1"/>
    <col min="2" max="2" width="12" customWidth="1"/>
    <col min="3" max="3" width="10" customWidth="1"/>
    <col min="4" max="4" width="30" customWidth="1"/>
    <col min="5" max="5" width="18" customWidth="1"/>
    <col min="6" max="6" width="2" hidden="1" customWidth="1"/>
    <col min="7" max="7" width="14" customWidth="1"/>
    <col min="8" max="8" width="2" hidden="1" customWidth="1"/>
    <col min="9" max="9" width="12" customWidth="1"/>
    <col min="10" max="10" width="28" customWidth="1"/>
    <col min="11" max="11" width="2" hidden="1" customWidth="1"/>
    <col min="12" max="12" width="2" style="3" hidden="1" customWidth="1"/>
    <col min="13" max="13" width="2" style="4" hidden="1" customWidth="1"/>
    <col min="14" max="14" width="2" hidden="1" customWidth="1"/>
    <col min="27" max="30" width="2" hidden="1" customWidth="1"/>
  </cols>
  <sheetData>
    <row r="1" spans="1:30" s="9" customFormat="1" ht="25.5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/>
      <c r="G1" s="6" t="s">
        <v>5</v>
      </c>
      <c r="H1" s="6"/>
      <c r="I1" s="6" t="s">
        <v>6</v>
      </c>
      <c r="J1" s="6" t="s">
        <v>7</v>
      </c>
      <c r="K1" s="7"/>
      <c r="L1" s="7"/>
      <c r="M1" s="8"/>
      <c r="AA1" s="9" t="s">
        <v>8</v>
      </c>
      <c r="AB1" s="9" t="s">
        <v>9</v>
      </c>
      <c r="AC1" s="9" t="s">
        <v>10</v>
      </c>
      <c r="AD1" s="9">
        <v>0</v>
      </c>
    </row>
    <row r="2" spans="1:30" ht="19.5" customHeight="1" x14ac:dyDescent="0.2">
      <c r="A2" s="10" t="s">
        <v>11</v>
      </c>
      <c r="B2" s="11" t="s">
        <v>12</v>
      </c>
      <c r="C2" s="12">
        <v>1</v>
      </c>
      <c r="D2" s="10" t="s">
        <v>13</v>
      </c>
      <c r="E2" s="10"/>
      <c r="F2" s="13"/>
      <c r="G2" s="10"/>
      <c r="H2" s="3"/>
      <c r="I2" s="10"/>
      <c r="J2" s="10"/>
      <c r="M2" s="14"/>
      <c r="AA2" t="str">
        <f t="shared" ref="AA2:AA33" si="0">IF(E2="","",E2)</f>
        <v/>
      </c>
      <c r="AB2" t="str">
        <f t="shared" ref="AB2:AB33" si="1">IF(G2="","",G2)</f>
        <v/>
      </c>
      <c r="AC2" t="str">
        <f t="shared" ref="AC2:AC33" si="2">IF(D2="","",D2)</f>
        <v xml:space="preserve">Drum or instrument </v>
      </c>
      <c r="AD2" t="str">
        <f>IF(AA2="","",IF(COUNTIF($AA$2:AA2,AA2)=1,MAX($AD$1:AD1)+1,""))</f>
        <v/>
      </c>
    </row>
    <row r="3" spans="1:30" ht="19.5" customHeight="1" x14ac:dyDescent="0.2">
      <c r="A3" s="10" t="s">
        <v>14</v>
      </c>
      <c r="B3" s="15" t="s">
        <v>15</v>
      </c>
      <c r="C3" s="16">
        <v>2</v>
      </c>
      <c r="D3" s="17" t="s">
        <v>16</v>
      </c>
      <c r="E3" s="17"/>
      <c r="F3" s="13"/>
      <c r="G3" s="17"/>
      <c r="H3" s="3"/>
      <c r="I3" s="17"/>
      <c r="J3" s="17"/>
      <c r="M3" s="14"/>
      <c r="AA3" t="str">
        <f t="shared" si="0"/>
        <v/>
      </c>
      <c r="AB3" t="str">
        <f t="shared" si="1"/>
        <v/>
      </c>
      <c r="AC3" t="str">
        <f t="shared" si="2"/>
        <v>Vocal for vocalist</v>
      </c>
      <c r="AD3" t="str">
        <f>IF(AA3="","",IF(COUNTIF($AA$2:AA3,AA3)=1,MAX($AD$1:AD2)+1,""))</f>
        <v/>
      </c>
    </row>
    <row r="4" spans="1:30" ht="19.5" customHeight="1" x14ac:dyDescent="0.2">
      <c r="A4" s="10" t="s">
        <v>17</v>
      </c>
      <c r="B4" s="11"/>
      <c r="C4" s="12">
        <v>3</v>
      </c>
      <c r="D4" s="10"/>
      <c r="E4" s="10"/>
      <c r="F4" s="13"/>
      <c r="G4" s="10"/>
      <c r="H4" s="3"/>
      <c r="I4" s="10"/>
      <c r="J4" s="10"/>
      <c r="M4" s="14"/>
      <c r="AA4" t="str">
        <f t="shared" si="0"/>
        <v/>
      </c>
      <c r="AB4" t="str">
        <f t="shared" si="1"/>
        <v/>
      </c>
      <c r="AC4" t="str">
        <f t="shared" si="2"/>
        <v/>
      </c>
      <c r="AD4" t="str">
        <f>IF(AA4="","",IF(COUNTIF($AA$2:AA4,AA4)=1,MAX($AD$1:AD3)+1,""))</f>
        <v/>
      </c>
    </row>
    <row r="5" spans="1:30" ht="19.5" customHeight="1" x14ac:dyDescent="0.2">
      <c r="A5" s="10" t="s">
        <v>18</v>
      </c>
      <c r="B5" s="15" t="s">
        <v>19</v>
      </c>
      <c r="C5" s="16">
        <v>4</v>
      </c>
      <c r="D5" s="17" t="s">
        <v>20</v>
      </c>
      <c r="E5" s="17" t="s">
        <v>21</v>
      </c>
      <c r="F5" s="13"/>
      <c r="G5" s="17" t="s">
        <v>22</v>
      </c>
      <c r="H5" s="3"/>
      <c r="I5" s="17"/>
      <c r="J5" s="17"/>
      <c r="M5" s="14"/>
      <c r="AA5" t="str">
        <f t="shared" si="0"/>
        <v>sm58</v>
      </c>
      <c r="AB5" t="str">
        <f t="shared" si="1"/>
        <v>tall</v>
      </c>
      <c r="AC5" t="str">
        <f t="shared" si="2"/>
        <v>doug</v>
      </c>
      <c r="AD5">
        <f>IF(AA5="","",IF(COUNTIF($AA$2:AA5,AA5)=1,MAX($AD$1:AD4)+1,""))</f>
        <v>1</v>
      </c>
    </row>
    <row r="6" spans="1:30" ht="19.5" customHeight="1" x14ac:dyDescent="0.2">
      <c r="A6" s="10" t="s">
        <v>23</v>
      </c>
      <c r="B6" s="11"/>
      <c r="C6" s="12">
        <v>5</v>
      </c>
      <c r="D6" s="10"/>
      <c r="E6" s="10"/>
      <c r="F6" s="13"/>
      <c r="G6" s="10"/>
      <c r="H6" s="3"/>
      <c r="I6" s="10"/>
      <c r="J6" s="10"/>
      <c r="M6" s="14"/>
      <c r="AA6" t="str">
        <f t="shared" si="0"/>
        <v/>
      </c>
      <c r="AB6" t="str">
        <f t="shared" si="1"/>
        <v/>
      </c>
      <c r="AC6" t="str">
        <f t="shared" si="2"/>
        <v/>
      </c>
      <c r="AD6" t="str">
        <f>IF(AA6="","",IF(COUNTIF($AA$2:AA6,AA6)=1,MAX($AD$1:AD5)+1,""))</f>
        <v/>
      </c>
    </row>
    <row r="7" spans="1:30" ht="19.5" customHeight="1" x14ac:dyDescent="0.2">
      <c r="A7" s="10" t="s">
        <v>24</v>
      </c>
      <c r="B7" s="15" t="s">
        <v>173</v>
      </c>
      <c r="C7" s="16">
        <v>6</v>
      </c>
      <c r="D7" s="17" t="s">
        <v>174</v>
      </c>
      <c r="E7" s="17" t="s">
        <v>172</v>
      </c>
      <c r="F7" s="13"/>
      <c r="G7" s="17" t="s">
        <v>171</v>
      </c>
      <c r="H7" s="3"/>
      <c r="I7" s="17"/>
      <c r="J7" s="17"/>
      <c r="M7" s="14"/>
      <c r="AA7" t="str">
        <f t="shared" si="0"/>
        <v>b57</v>
      </c>
      <c r="AB7" t="str">
        <f t="shared" si="1"/>
        <v>round</v>
      </c>
      <c r="AC7" t="str">
        <f t="shared" si="2"/>
        <v>test</v>
      </c>
      <c r="AD7">
        <f>IF(AA7="","",IF(COUNTIF($AA$2:AA7,AA7)=1,MAX($AD$1:AD6)+1,""))</f>
        <v>2</v>
      </c>
    </row>
    <row r="8" spans="1:30" ht="19.5" customHeight="1" x14ac:dyDescent="0.2">
      <c r="A8" s="10" t="s">
        <v>25</v>
      </c>
      <c r="B8" s="11"/>
      <c r="C8" s="12">
        <v>7</v>
      </c>
      <c r="D8" s="10"/>
      <c r="E8" s="10"/>
      <c r="F8" s="13"/>
      <c r="G8" s="10"/>
      <c r="H8" s="3"/>
      <c r="I8" s="10"/>
      <c r="J8" s="10"/>
      <c r="M8" s="14"/>
      <c r="AA8" t="str">
        <f t="shared" si="0"/>
        <v/>
      </c>
      <c r="AB8" t="str">
        <f t="shared" si="1"/>
        <v/>
      </c>
      <c r="AC8" t="str">
        <f t="shared" si="2"/>
        <v/>
      </c>
      <c r="AD8" t="str">
        <f>IF(AA8="","",IF(COUNTIF($AA$2:AA8,AA8)=1,MAX($AD$1:AD7)+1,""))</f>
        <v/>
      </c>
    </row>
    <row r="9" spans="1:30" ht="19.5" customHeight="1" x14ac:dyDescent="0.2">
      <c r="A9" s="10" t="s">
        <v>26</v>
      </c>
      <c r="B9" s="15" t="s">
        <v>27</v>
      </c>
      <c r="C9" s="16">
        <v>8</v>
      </c>
      <c r="D9" s="17" t="s">
        <v>28</v>
      </c>
      <c r="E9" s="17"/>
      <c r="F9" s="13"/>
      <c r="G9" s="17"/>
      <c r="H9" s="3"/>
      <c r="I9" s="17"/>
      <c r="J9" s="17"/>
      <c r="M9" s="14"/>
      <c r="AA9" t="str">
        <f t="shared" si="0"/>
        <v/>
      </c>
      <c r="AB9" t="str">
        <f t="shared" si="1"/>
        <v/>
      </c>
      <c r="AC9" t="str">
        <f t="shared" si="2"/>
        <v>Example 3</v>
      </c>
      <c r="AD9" t="str">
        <f>IF(AA9="","",IF(COUNTIF($AA$2:AA9,AA9)=1,MAX($AD$1:AD8)+1,""))</f>
        <v/>
      </c>
    </row>
    <row r="10" spans="1:30" ht="19.5" customHeight="1" x14ac:dyDescent="0.2">
      <c r="A10" s="10" t="s">
        <v>29</v>
      </c>
      <c r="B10" s="11"/>
      <c r="C10" s="12">
        <v>9</v>
      </c>
      <c r="D10" s="10"/>
      <c r="E10" s="10"/>
      <c r="F10" s="13"/>
      <c r="G10" s="10"/>
      <c r="H10" s="3"/>
      <c r="I10" s="10"/>
      <c r="J10" s="10"/>
      <c r="M10" s="14"/>
      <c r="AA10" t="str">
        <f t="shared" si="0"/>
        <v/>
      </c>
      <c r="AB10" t="str">
        <f t="shared" si="1"/>
        <v/>
      </c>
      <c r="AC10" t="str">
        <f t="shared" si="2"/>
        <v/>
      </c>
      <c r="AD10" t="str">
        <f>IF(AA10="","",IF(COUNTIF($AA$2:AA10,AA10)=1,MAX($AD$1:AD9)+1,""))</f>
        <v/>
      </c>
    </row>
    <row r="11" spans="1:30" ht="19.5" customHeight="1" x14ac:dyDescent="0.2">
      <c r="A11" s="10" t="s">
        <v>30</v>
      </c>
      <c r="B11" s="15" t="s">
        <v>31</v>
      </c>
      <c r="C11" s="16">
        <v>10</v>
      </c>
      <c r="D11" s="17" t="s">
        <v>32</v>
      </c>
      <c r="E11" s="17"/>
      <c r="F11" s="13"/>
      <c r="G11" s="17"/>
      <c r="H11" s="3"/>
      <c r="I11" s="17"/>
      <c r="J11" s="17"/>
      <c r="M11" s="14"/>
      <c r="AA11" t="str">
        <f t="shared" si="0"/>
        <v/>
      </c>
      <c r="AB11" t="str">
        <f t="shared" si="1"/>
        <v/>
      </c>
      <c r="AC11" t="str">
        <f t="shared" si="2"/>
        <v>Example 4</v>
      </c>
      <c r="AD11" t="str">
        <f>IF(AA11="","",IF(COUNTIF($AA$2:AA11,AA11)=1,MAX($AD$1:AD10)+1,""))</f>
        <v/>
      </c>
    </row>
    <row r="12" spans="1:30" ht="19.5" customHeight="1" x14ac:dyDescent="0.2">
      <c r="A12" s="10" t="s">
        <v>33</v>
      </c>
      <c r="B12" s="11"/>
      <c r="C12" s="12">
        <v>11</v>
      </c>
      <c r="D12" s="10"/>
      <c r="E12" s="10"/>
      <c r="F12" s="13"/>
      <c r="G12" s="10"/>
      <c r="H12" s="3"/>
      <c r="I12" s="10"/>
      <c r="J12" s="10"/>
      <c r="M12" s="14"/>
      <c r="AA12" t="str">
        <f t="shared" si="0"/>
        <v/>
      </c>
      <c r="AB12" t="str">
        <f t="shared" si="1"/>
        <v/>
      </c>
      <c r="AC12" t="str">
        <f t="shared" si="2"/>
        <v/>
      </c>
      <c r="AD12" t="str">
        <f>IF(AA12="","",IF(COUNTIF($AA$2:AA12,AA12)=1,MAX($AD$1:AD11)+1,""))</f>
        <v/>
      </c>
    </row>
    <row r="13" spans="1:30" ht="19.5" customHeight="1" x14ac:dyDescent="0.2">
      <c r="A13" s="10" t="s">
        <v>34</v>
      </c>
      <c r="B13" s="15"/>
      <c r="C13" s="16">
        <v>12</v>
      </c>
      <c r="D13" s="17"/>
      <c r="E13" s="17"/>
      <c r="F13" s="13"/>
      <c r="G13" s="17"/>
      <c r="H13" s="3"/>
      <c r="I13" s="17"/>
      <c r="J13" s="17"/>
      <c r="M13" s="14"/>
      <c r="AA13" t="str">
        <f t="shared" si="0"/>
        <v/>
      </c>
      <c r="AB13" t="str">
        <f t="shared" si="1"/>
        <v/>
      </c>
      <c r="AC13" t="str">
        <f t="shared" si="2"/>
        <v/>
      </c>
      <c r="AD13" t="str">
        <f>IF(AA13="","",IF(COUNTIF($AA$2:AA13,AA13)=1,MAX($AD$1:AD12)+1,""))</f>
        <v/>
      </c>
    </row>
    <row r="14" spans="1:30" ht="19.5" customHeight="1" x14ac:dyDescent="0.2">
      <c r="A14" s="10" t="s">
        <v>35</v>
      </c>
      <c r="B14" s="11"/>
      <c r="C14" s="12">
        <v>13</v>
      </c>
      <c r="D14" s="10"/>
      <c r="E14" s="10"/>
      <c r="F14" s="13"/>
      <c r="G14" s="10"/>
      <c r="H14" s="3"/>
      <c r="I14" s="10"/>
      <c r="J14" s="10"/>
      <c r="M14" s="14"/>
      <c r="AA14" t="str">
        <f t="shared" si="0"/>
        <v/>
      </c>
      <c r="AB14" t="str">
        <f t="shared" si="1"/>
        <v/>
      </c>
      <c r="AC14" t="str">
        <f t="shared" si="2"/>
        <v/>
      </c>
      <c r="AD14" t="str">
        <f>IF(AA14="","",IF(COUNTIF($AA$2:AA14,AA14)=1,MAX($AD$1:AD13)+1,""))</f>
        <v/>
      </c>
    </row>
    <row r="15" spans="1:30" ht="19.5" customHeight="1" x14ac:dyDescent="0.2">
      <c r="A15" s="10" t="s">
        <v>36</v>
      </c>
      <c r="B15" s="15"/>
      <c r="C15" s="16">
        <v>14</v>
      </c>
      <c r="D15" s="17"/>
      <c r="E15" s="17"/>
      <c r="F15" s="13"/>
      <c r="G15" s="17"/>
      <c r="H15" s="3"/>
      <c r="I15" s="17"/>
      <c r="J15" s="17"/>
      <c r="M15" s="14"/>
      <c r="AA15" t="str">
        <f t="shared" si="0"/>
        <v/>
      </c>
      <c r="AB15" t="str">
        <f t="shared" si="1"/>
        <v/>
      </c>
      <c r="AC15" t="str">
        <f t="shared" si="2"/>
        <v/>
      </c>
      <c r="AD15" t="str">
        <f>IF(AA15="","",IF(COUNTIF($AA$2:AA15,AA15)=1,MAX($AD$1:AD14)+1,""))</f>
        <v/>
      </c>
    </row>
    <row r="16" spans="1:30" ht="19.5" customHeight="1" x14ac:dyDescent="0.2">
      <c r="A16" s="10" t="s">
        <v>37</v>
      </c>
      <c r="B16" s="11" t="s">
        <v>38</v>
      </c>
      <c r="C16" s="12">
        <v>15</v>
      </c>
      <c r="D16" s="10" t="s">
        <v>39</v>
      </c>
      <c r="E16" s="10"/>
      <c r="F16" s="13"/>
      <c r="G16" s="10"/>
      <c r="H16" s="3"/>
      <c r="I16" s="10"/>
      <c r="J16" s="10"/>
      <c r="M16" s="14"/>
      <c r="AA16" t="str">
        <f t="shared" si="0"/>
        <v/>
      </c>
      <c r="AB16" t="str">
        <f t="shared" si="1"/>
        <v/>
      </c>
      <c r="AC16" t="str">
        <f t="shared" si="2"/>
        <v>Example 5</v>
      </c>
      <c r="AD16" t="str">
        <f>IF(AA16="","",IF(COUNTIF($AA$2:AA16,AA16)=1,MAX($AD$1:AD15)+1,""))</f>
        <v/>
      </c>
    </row>
    <row r="17" spans="1:30" ht="19.5" customHeight="1" x14ac:dyDescent="0.2">
      <c r="A17" s="10" t="s">
        <v>40</v>
      </c>
      <c r="B17" s="15" t="s">
        <v>41</v>
      </c>
      <c r="C17" s="16">
        <v>16</v>
      </c>
      <c r="D17" s="17" t="s">
        <v>42</v>
      </c>
      <c r="E17" s="17"/>
      <c r="F17" s="13"/>
      <c r="G17" s="17"/>
      <c r="H17" s="3"/>
      <c r="I17" s="17"/>
      <c r="J17" s="17"/>
      <c r="M17" s="14"/>
      <c r="AA17" t="str">
        <f t="shared" si="0"/>
        <v/>
      </c>
      <c r="AB17" t="str">
        <f t="shared" si="1"/>
        <v/>
      </c>
      <c r="AC17" t="str">
        <f t="shared" si="2"/>
        <v>Example 6</v>
      </c>
      <c r="AD17" t="str">
        <f>IF(AA17="","",IF(COUNTIF($AA$2:AA17,AA17)=1,MAX($AD$1:AD16)+1,""))</f>
        <v/>
      </c>
    </row>
    <row r="18" spans="1:30" ht="19.5" customHeight="1" x14ac:dyDescent="0.2">
      <c r="A18" s="10" t="s">
        <v>43</v>
      </c>
      <c r="B18" s="11"/>
      <c r="C18" s="12">
        <v>17</v>
      </c>
      <c r="D18" s="10"/>
      <c r="E18" s="10"/>
      <c r="F18" s="13"/>
      <c r="G18" s="10"/>
      <c r="H18" s="3"/>
      <c r="I18" s="10"/>
      <c r="J18" s="10"/>
      <c r="M18" s="14"/>
      <c r="AA18" t="str">
        <f t="shared" si="0"/>
        <v/>
      </c>
      <c r="AB18" t="str">
        <f t="shared" si="1"/>
        <v/>
      </c>
      <c r="AC18" t="str">
        <f t="shared" si="2"/>
        <v/>
      </c>
      <c r="AD18" t="str">
        <f>IF(AA18="","",IF(COUNTIF($AA$2:AA18,AA18)=1,MAX($AD$1:AD17)+1,""))</f>
        <v/>
      </c>
    </row>
    <row r="19" spans="1:30" ht="19.5" customHeight="1" x14ac:dyDescent="0.2">
      <c r="A19" s="10" t="s">
        <v>44</v>
      </c>
      <c r="B19" s="15"/>
      <c r="C19" s="16">
        <v>18</v>
      </c>
      <c r="D19" s="17"/>
      <c r="E19" s="17"/>
      <c r="F19" s="13"/>
      <c r="G19" s="17"/>
      <c r="H19" s="3"/>
      <c r="I19" s="17"/>
      <c r="J19" s="17"/>
      <c r="M19" s="14"/>
      <c r="AA19" t="str">
        <f t="shared" si="0"/>
        <v/>
      </c>
      <c r="AB19" t="str">
        <f t="shared" si="1"/>
        <v/>
      </c>
      <c r="AC19" t="str">
        <f t="shared" si="2"/>
        <v/>
      </c>
      <c r="AD19" t="str">
        <f>IF(AA19="","",IF(COUNTIF($AA$2:AA19,AA19)=1,MAX($AD$1:AD18)+1,""))</f>
        <v/>
      </c>
    </row>
    <row r="20" spans="1:30" ht="19.5" customHeight="1" x14ac:dyDescent="0.2">
      <c r="A20" s="10" t="s">
        <v>45</v>
      </c>
      <c r="B20" s="11"/>
      <c r="C20" s="12">
        <v>19</v>
      </c>
      <c r="D20" s="10"/>
      <c r="E20" s="10"/>
      <c r="F20" s="13"/>
      <c r="G20" s="10"/>
      <c r="H20" s="3"/>
      <c r="I20" s="10"/>
      <c r="J20" s="10"/>
      <c r="M20" s="14"/>
      <c r="AA20" t="str">
        <f t="shared" si="0"/>
        <v/>
      </c>
      <c r="AB20" t="str">
        <f t="shared" si="1"/>
        <v/>
      </c>
      <c r="AC20" t="str">
        <f t="shared" si="2"/>
        <v/>
      </c>
      <c r="AD20" t="str">
        <f>IF(AA20="","",IF(COUNTIF($AA$2:AA20,AA20)=1,MAX($AD$1:AD19)+1,""))</f>
        <v/>
      </c>
    </row>
    <row r="21" spans="1:30" ht="19.5" customHeight="1" x14ac:dyDescent="0.2">
      <c r="A21" s="10" t="s">
        <v>46</v>
      </c>
      <c r="B21" s="15"/>
      <c r="C21" s="16">
        <v>20</v>
      </c>
      <c r="D21" s="17"/>
      <c r="E21" s="17"/>
      <c r="F21" s="13"/>
      <c r="G21" s="17"/>
      <c r="H21" s="3"/>
      <c r="I21" s="17"/>
      <c r="J21" s="17"/>
      <c r="M21" s="14"/>
      <c r="AA21" t="str">
        <f t="shared" si="0"/>
        <v/>
      </c>
      <c r="AB21" t="str">
        <f t="shared" si="1"/>
        <v/>
      </c>
      <c r="AC21" t="str">
        <f t="shared" si="2"/>
        <v/>
      </c>
      <c r="AD21" t="str">
        <f>IF(AA21="","",IF(COUNTIF($AA$2:AA21,AA21)=1,MAX($AD$1:AD20)+1,""))</f>
        <v/>
      </c>
    </row>
    <row r="22" spans="1:30" ht="19.5" customHeight="1" x14ac:dyDescent="0.2">
      <c r="A22" s="10" t="s">
        <v>47</v>
      </c>
      <c r="B22" s="11"/>
      <c r="C22" s="12">
        <v>21</v>
      </c>
      <c r="D22" s="10"/>
      <c r="E22" s="10"/>
      <c r="F22" s="13"/>
      <c r="G22" s="10"/>
      <c r="H22" s="3"/>
      <c r="I22" s="10"/>
      <c r="J22" s="10"/>
      <c r="M22" s="14"/>
      <c r="AA22" t="str">
        <f t="shared" si="0"/>
        <v/>
      </c>
      <c r="AB22" t="str">
        <f t="shared" si="1"/>
        <v/>
      </c>
      <c r="AC22" t="str">
        <f t="shared" si="2"/>
        <v/>
      </c>
      <c r="AD22" t="str">
        <f>IF(AA22="","",IF(COUNTIF($AA$2:AA22,AA22)=1,MAX($AD$1:AD21)+1,""))</f>
        <v/>
      </c>
    </row>
    <row r="23" spans="1:30" ht="19.5" customHeight="1" x14ac:dyDescent="0.2">
      <c r="A23" s="10" t="s">
        <v>48</v>
      </c>
      <c r="B23" s="15"/>
      <c r="C23" s="16">
        <v>22</v>
      </c>
      <c r="D23" s="17"/>
      <c r="E23" s="17"/>
      <c r="F23" s="13"/>
      <c r="G23" s="17"/>
      <c r="H23" s="3"/>
      <c r="I23" s="17"/>
      <c r="J23" s="17"/>
      <c r="M23" s="14"/>
      <c r="AA23" t="str">
        <f t="shared" si="0"/>
        <v/>
      </c>
      <c r="AB23" t="str">
        <f t="shared" si="1"/>
        <v/>
      </c>
      <c r="AC23" t="str">
        <f t="shared" si="2"/>
        <v/>
      </c>
      <c r="AD23" t="str">
        <f>IF(AA23="","",IF(COUNTIF($AA$2:AA23,AA23)=1,MAX($AD$1:AD22)+1,""))</f>
        <v/>
      </c>
    </row>
    <row r="24" spans="1:30" ht="19.5" customHeight="1" x14ac:dyDescent="0.2">
      <c r="A24" s="10" t="s">
        <v>49</v>
      </c>
      <c r="B24" s="11"/>
      <c r="C24" s="12">
        <v>23</v>
      </c>
      <c r="D24" s="10"/>
      <c r="E24" s="10"/>
      <c r="F24" s="13"/>
      <c r="G24" s="10"/>
      <c r="H24" s="3"/>
      <c r="I24" s="10"/>
      <c r="J24" s="10"/>
      <c r="M24" s="14"/>
      <c r="AA24" t="str">
        <f t="shared" si="0"/>
        <v/>
      </c>
      <c r="AB24" t="str">
        <f t="shared" si="1"/>
        <v/>
      </c>
      <c r="AC24" t="str">
        <f t="shared" si="2"/>
        <v/>
      </c>
      <c r="AD24" t="str">
        <f>IF(AA24="","",IF(COUNTIF($AA$2:AA24,AA24)=1,MAX($AD$1:AD23)+1,""))</f>
        <v/>
      </c>
    </row>
    <row r="25" spans="1:30" ht="19.5" customHeight="1" x14ac:dyDescent="0.2">
      <c r="A25" s="10" t="s">
        <v>50</v>
      </c>
      <c r="B25" s="15"/>
      <c r="C25" s="16">
        <v>24</v>
      </c>
      <c r="D25" s="17"/>
      <c r="E25" s="17"/>
      <c r="F25" s="13"/>
      <c r="G25" s="17"/>
      <c r="H25" s="3"/>
      <c r="I25" s="17"/>
      <c r="J25" s="17"/>
      <c r="M25" s="14"/>
      <c r="AA25" t="str">
        <f t="shared" si="0"/>
        <v/>
      </c>
      <c r="AB25" t="str">
        <f t="shared" si="1"/>
        <v/>
      </c>
      <c r="AC25" t="str">
        <f t="shared" si="2"/>
        <v/>
      </c>
      <c r="AD25" t="str">
        <f>IF(AA25="","",IF(COUNTIF($AA$2:AA25,AA25)=1,MAX($AD$1:AD24)+1,""))</f>
        <v/>
      </c>
    </row>
    <row r="26" spans="1:30" ht="19.5" customHeight="1" x14ac:dyDescent="0.2">
      <c r="A26" s="10" t="s">
        <v>51</v>
      </c>
      <c r="B26" s="11"/>
      <c r="C26" s="12">
        <v>25</v>
      </c>
      <c r="D26" s="10"/>
      <c r="E26" s="10"/>
      <c r="F26" s="13"/>
      <c r="G26" s="10"/>
      <c r="H26" s="3"/>
      <c r="I26" s="10"/>
      <c r="J26" s="10"/>
      <c r="M26" s="14"/>
      <c r="AA26" t="str">
        <f t="shared" si="0"/>
        <v/>
      </c>
      <c r="AB26" t="str">
        <f t="shared" si="1"/>
        <v/>
      </c>
      <c r="AC26" t="str">
        <f t="shared" si="2"/>
        <v/>
      </c>
      <c r="AD26" t="str">
        <f>IF(AA26="","",IF(COUNTIF($AA$2:AA26,AA26)=1,MAX($AD$1:AD25)+1,""))</f>
        <v/>
      </c>
    </row>
    <row r="27" spans="1:30" ht="19.5" customHeight="1" x14ac:dyDescent="0.2">
      <c r="A27" s="10" t="s">
        <v>52</v>
      </c>
      <c r="B27" s="15"/>
      <c r="C27" s="16">
        <v>26</v>
      </c>
      <c r="D27" s="17"/>
      <c r="E27" s="17"/>
      <c r="F27" s="13"/>
      <c r="G27" s="17"/>
      <c r="H27" s="3"/>
      <c r="I27" s="17"/>
      <c r="J27" s="17"/>
      <c r="M27" s="14"/>
      <c r="AA27" t="str">
        <f t="shared" si="0"/>
        <v/>
      </c>
      <c r="AB27" t="str">
        <f t="shared" si="1"/>
        <v/>
      </c>
      <c r="AC27" t="str">
        <f t="shared" si="2"/>
        <v/>
      </c>
      <c r="AD27" t="str">
        <f>IF(AA27="","",IF(COUNTIF($AA$2:AA27,AA27)=1,MAX($AD$1:AD26)+1,""))</f>
        <v/>
      </c>
    </row>
    <row r="28" spans="1:30" ht="19.5" customHeight="1" x14ac:dyDescent="0.2">
      <c r="A28" s="10" t="s">
        <v>53</v>
      </c>
      <c r="B28" s="11"/>
      <c r="C28" s="12">
        <v>27</v>
      </c>
      <c r="D28" s="10"/>
      <c r="E28" s="10"/>
      <c r="F28" s="13"/>
      <c r="G28" s="10"/>
      <c r="H28" s="3"/>
      <c r="I28" s="10"/>
      <c r="J28" s="10"/>
      <c r="M28" s="14"/>
      <c r="AA28" t="str">
        <f t="shared" si="0"/>
        <v/>
      </c>
      <c r="AB28" t="str">
        <f t="shared" si="1"/>
        <v/>
      </c>
      <c r="AC28" t="str">
        <f t="shared" si="2"/>
        <v/>
      </c>
      <c r="AD28" t="str">
        <f>IF(AA28="","",IF(COUNTIF($AA$2:AA28,AA28)=1,MAX($AD$1:AD27)+1,""))</f>
        <v/>
      </c>
    </row>
    <row r="29" spans="1:30" ht="19.5" customHeight="1" x14ac:dyDescent="0.2">
      <c r="A29" s="10" t="s">
        <v>54</v>
      </c>
      <c r="B29" s="15"/>
      <c r="C29" s="16">
        <v>28</v>
      </c>
      <c r="D29" s="17"/>
      <c r="E29" s="17"/>
      <c r="F29" s="13"/>
      <c r="G29" s="17"/>
      <c r="H29" s="3"/>
      <c r="I29" s="17"/>
      <c r="J29" s="17"/>
      <c r="M29" s="14"/>
      <c r="AA29" t="str">
        <f t="shared" si="0"/>
        <v/>
      </c>
      <c r="AB29" t="str">
        <f t="shared" si="1"/>
        <v/>
      </c>
      <c r="AC29" t="str">
        <f t="shared" si="2"/>
        <v/>
      </c>
      <c r="AD29" t="str">
        <f>IF(AA29="","",IF(COUNTIF($AA$2:AA29,AA29)=1,MAX($AD$1:AD28)+1,""))</f>
        <v/>
      </c>
    </row>
    <row r="30" spans="1:30" ht="19.5" customHeight="1" x14ac:dyDescent="0.2">
      <c r="A30" s="10" t="s">
        <v>55</v>
      </c>
      <c r="B30" s="11"/>
      <c r="C30" s="12">
        <v>29</v>
      </c>
      <c r="D30" s="10"/>
      <c r="E30" s="10"/>
      <c r="F30" s="13"/>
      <c r="G30" s="10"/>
      <c r="H30" s="3"/>
      <c r="I30" s="10"/>
      <c r="J30" s="10"/>
      <c r="M30" s="14"/>
      <c r="AA30" t="str">
        <f t="shared" si="0"/>
        <v/>
      </c>
      <c r="AB30" t="str">
        <f t="shared" si="1"/>
        <v/>
      </c>
      <c r="AC30" t="str">
        <f t="shared" si="2"/>
        <v/>
      </c>
      <c r="AD30" t="str">
        <f>IF(AA30="","",IF(COUNTIF($AA$2:AA30,AA30)=1,MAX($AD$1:AD29)+1,""))</f>
        <v/>
      </c>
    </row>
    <row r="31" spans="1:30" ht="19.5" customHeight="1" x14ac:dyDescent="0.2">
      <c r="A31" s="10" t="s">
        <v>56</v>
      </c>
      <c r="B31" s="15"/>
      <c r="C31" s="16">
        <v>30</v>
      </c>
      <c r="D31" s="17"/>
      <c r="E31" s="17"/>
      <c r="F31" s="13"/>
      <c r="G31" s="17"/>
      <c r="H31" s="3"/>
      <c r="I31" s="17"/>
      <c r="J31" s="17"/>
      <c r="M31" s="14"/>
      <c r="AA31" t="str">
        <f t="shared" si="0"/>
        <v/>
      </c>
      <c r="AB31" t="str">
        <f t="shared" si="1"/>
        <v/>
      </c>
      <c r="AC31" t="str">
        <f t="shared" si="2"/>
        <v/>
      </c>
      <c r="AD31" t="str">
        <f>IF(AA31="","",IF(COUNTIF($AA$2:AA31,AA31)=1,MAX($AD$1:AD30)+1,""))</f>
        <v/>
      </c>
    </row>
    <row r="32" spans="1:30" ht="19.5" customHeight="1" x14ac:dyDescent="0.2">
      <c r="A32" s="10" t="s">
        <v>57</v>
      </c>
      <c r="B32" s="11"/>
      <c r="C32" s="12">
        <v>31</v>
      </c>
      <c r="D32" s="10"/>
      <c r="E32" s="10"/>
      <c r="F32" s="13"/>
      <c r="G32" s="10"/>
      <c r="H32" s="3"/>
      <c r="I32" s="10"/>
      <c r="J32" s="10"/>
      <c r="M32" s="14"/>
      <c r="AA32" t="str">
        <f t="shared" si="0"/>
        <v/>
      </c>
      <c r="AB32" t="str">
        <f t="shared" si="1"/>
        <v/>
      </c>
      <c r="AC32" t="str">
        <f t="shared" si="2"/>
        <v/>
      </c>
      <c r="AD32" t="str">
        <f>IF(AA32="","",IF(COUNTIF($AA$2:AA32,AA32)=1,MAX($AD$1:AD31)+1,""))</f>
        <v/>
      </c>
    </row>
    <row r="33" spans="1:30" ht="19.5" customHeight="1" x14ac:dyDescent="0.2">
      <c r="A33" s="10" t="s">
        <v>58</v>
      </c>
      <c r="B33" s="15"/>
      <c r="C33" s="16">
        <v>32</v>
      </c>
      <c r="D33" s="17"/>
      <c r="E33" s="17"/>
      <c r="F33" s="13"/>
      <c r="G33" s="17"/>
      <c r="H33" s="3"/>
      <c r="I33" s="17"/>
      <c r="J33" s="17"/>
      <c r="M33" s="14"/>
      <c r="AA33" t="str">
        <f t="shared" si="0"/>
        <v/>
      </c>
      <c r="AB33" t="str">
        <f t="shared" si="1"/>
        <v/>
      </c>
      <c r="AC33" t="str">
        <f t="shared" si="2"/>
        <v/>
      </c>
      <c r="AD33" t="str">
        <f>IF(AA33="","",IF(COUNTIF($AA$2:AA33,AA33)=1,MAX($AD$1:AD32)+1,""))</f>
        <v/>
      </c>
    </row>
    <row r="34" spans="1:30" ht="19.5" customHeight="1" x14ac:dyDescent="0.2">
      <c r="A34" s="10" t="s">
        <v>59</v>
      </c>
      <c r="B34" s="11"/>
      <c r="C34" s="12">
        <v>33</v>
      </c>
      <c r="D34" s="10"/>
      <c r="E34" s="10"/>
      <c r="F34" s="13"/>
      <c r="G34" s="10"/>
      <c r="H34" s="3"/>
      <c r="I34" s="10"/>
      <c r="J34" s="10"/>
      <c r="M34" s="14"/>
      <c r="AA34" t="str">
        <f t="shared" ref="AA34:AA65" si="3">IF(E34="","",E34)</f>
        <v/>
      </c>
      <c r="AB34" t="str">
        <f t="shared" ref="AB34:AB65" si="4">IF(G34="","",G34)</f>
        <v/>
      </c>
      <c r="AC34" t="str">
        <f t="shared" ref="AC34:AC65" si="5">IF(D34="","",D34)</f>
        <v/>
      </c>
      <c r="AD34" t="str">
        <f>IF(AA34="","",IF(COUNTIF($AA$2:AA34,AA34)=1,MAX($AD$1:AD33)+1,""))</f>
        <v/>
      </c>
    </row>
    <row r="35" spans="1:30" ht="19.5" customHeight="1" x14ac:dyDescent="0.2">
      <c r="A35" s="10" t="s">
        <v>60</v>
      </c>
      <c r="B35" s="15"/>
      <c r="C35" s="16">
        <v>34</v>
      </c>
      <c r="D35" s="17"/>
      <c r="E35" s="17"/>
      <c r="F35" s="13"/>
      <c r="G35" s="17"/>
      <c r="H35" s="3"/>
      <c r="I35" s="17"/>
      <c r="J35" s="17"/>
      <c r="M35" s="14"/>
      <c r="AA35" t="str">
        <f t="shared" si="3"/>
        <v/>
      </c>
      <c r="AB35" t="str">
        <f t="shared" si="4"/>
        <v/>
      </c>
      <c r="AC35" t="str">
        <f t="shared" si="5"/>
        <v/>
      </c>
      <c r="AD35" t="str">
        <f>IF(AA35="","",IF(COUNTIF($AA$2:AA35,AA35)=1,MAX($AD$1:AD34)+1,""))</f>
        <v/>
      </c>
    </row>
    <row r="36" spans="1:30" ht="19.5" customHeight="1" x14ac:dyDescent="0.2">
      <c r="A36" s="10" t="s">
        <v>61</v>
      </c>
      <c r="B36" s="11"/>
      <c r="C36" s="12">
        <v>35</v>
      </c>
      <c r="D36" s="10"/>
      <c r="E36" s="10"/>
      <c r="F36" s="13"/>
      <c r="G36" s="10"/>
      <c r="H36" s="3"/>
      <c r="I36" s="10"/>
      <c r="J36" s="10"/>
      <c r="M36" s="14"/>
      <c r="AA36" t="str">
        <f t="shared" si="3"/>
        <v/>
      </c>
      <c r="AB36" t="str">
        <f t="shared" si="4"/>
        <v/>
      </c>
      <c r="AC36" t="str">
        <f t="shared" si="5"/>
        <v/>
      </c>
      <c r="AD36" t="str">
        <f>IF(AA36="","",IF(COUNTIF($AA$2:AA36,AA36)=1,MAX($AD$1:AD35)+1,""))</f>
        <v/>
      </c>
    </row>
    <row r="37" spans="1:30" ht="19.5" customHeight="1" x14ac:dyDescent="0.2">
      <c r="A37" s="10" t="s">
        <v>62</v>
      </c>
      <c r="B37" s="15"/>
      <c r="C37" s="16">
        <v>36</v>
      </c>
      <c r="D37" s="17"/>
      <c r="E37" s="17"/>
      <c r="F37" s="13"/>
      <c r="G37" s="17"/>
      <c r="H37" s="3"/>
      <c r="I37" s="17"/>
      <c r="J37" s="17"/>
      <c r="M37" s="14"/>
      <c r="AA37" t="str">
        <f t="shared" si="3"/>
        <v/>
      </c>
      <c r="AB37" t="str">
        <f t="shared" si="4"/>
        <v/>
      </c>
      <c r="AC37" t="str">
        <f t="shared" si="5"/>
        <v/>
      </c>
      <c r="AD37" t="str">
        <f>IF(AA37="","",IF(COUNTIF($AA$2:AA37,AA37)=1,MAX($AD$1:AD36)+1,""))</f>
        <v/>
      </c>
    </row>
    <row r="38" spans="1:30" ht="19.5" customHeight="1" x14ac:dyDescent="0.2">
      <c r="A38" s="10" t="s">
        <v>63</v>
      </c>
      <c r="B38" s="11"/>
      <c r="C38" s="12">
        <v>37</v>
      </c>
      <c r="D38" s="10"/>
      <c r="E38" s="10"/>
      <c r="F38" s="13"/>
      <c r="G38" s="10"/>
      <c r="H38" s="3"/>
      <c r="I38" s="10"/>
      <c r="J38" s="10"/>
      <c r="M38" s="14"/>
      <c r="AA38" t="str">
        <f t="shared" si="3"/>
        <v/>
      </c>
      <c r="AB38" t="str">
        <f t="shared" si="4"/>
        <v/>
      </c>
      <c r="AC38" t="str">
        <f t="shared" si="5"/>
        <v/>
      </c>
      <c r="AD38" t="str">
        <f>IF(AA38="","",IF(COUNTIF($AA$2:AA38,AA38)=1,MAX($AD$1:AD37)+1,""))</f>
        <v/>
      </c>
    </row>
    <row r="39" spans="1:30" ht="19.5" customHeight="1" x14ac:dyDescent="0.2">
      <c r="A39" s="10" t="s">
        <v>64</v>
      </c>
      <c r="B39" s="15"/>
      <c r="C39" s="16">
        <v>38</v>
      </c>
      <c r="D39" s="17"/>
      <c r="E39" s="17"/>
      <c r="F39" s="13"/>
      <c r="G39" s="17"/>
      <c r="H39" s="3"/>
      <c r="I39" s="17"/>
      <c r="J39" s="17"/>
      <c r="M39" s="14"/>
      <c r="AA39" t="str">
        <f t="shared" si="3"/>
        <v/>
      </c>
      <c r="AB39" t="str">
        <f t="shared" si="4"/>
        <v/>
      </c>
      <c r="AC39" t="str">
        <f t="shared" si="5"/>
        <v/>
      </c>
      <c r="AD39" t="str">
        <f>IF(AA39="","",IF(COUNTIF($AA$2:AA39,AA39)=1,MAX($AD$1:AD38)+1,""))</f>
        <v/>
      </c>
    </row>
    <row r="40" spans="1:30" ht="19.5" customHeight="1" x14ac:dyDescent="0.2">
      <c r="A40" s="10" t="s">
        <v>65</v>
      </c>
      <c r="B40" s="11"/>
      <c r="C40" s="12">
        <v>39</v>
      </c>
      <c r="D40" s="10"/>
      <c r="E40" s="10"/>
      <c r="F40" s="13"/>
      <c r="G40" s="10"/>
      <c r="H40" s="3"/>
      <c r="I40" s="10"/>
      <c r="J40" s="10"/>
      <c r="M40" s="14"/>
      <c r="AA40" t="str">
        <f t="shared" si="3"/>
        <v/>
      </c>
      <c r="AB40" t="str">
        <f t="shared" si="4"/>
        <v/>
      </c>
      <c r="AC40" t="str">
        <f t="shared" si="5"/>
        <v/>
      </c>
      <c r="AD40" t="str">
        <f>IF(AA40="","",IF(COUNTIF($AA$2:AA40,AA40)=1,MAX($AD$1:AD39)+1,""))</f>
        <v/>
      </c>
    </row>
    <row r="41" spans="1:30" ht="19.5" customHeight="1" x14ac:dyDescent="0.2">
      <c r="A41" s="10" t="s">
        <v>66</v>
      </c>
      <c r="B41" s="15"/>
      <c r="C41" s="16">
        <v>40</v>
      </c>
      <c r="D41" s="17"/>
      <c r="E41" s="17"/>
      <c r="F41" s="13"/>
      <c r="G41" s="17"/>
      <c r="H41" s="3"/>
      <c r="I41" s="17"/>
      <c r="J41" s="17"/>
      <c r="M41" s="14"/>
      <c r="AA41" t="str">
        <f t="shared" si="3"/>
        <v/>
      </c>
      <c r="AB41" t="str">
        <f t="shared" si="4"/>
        <v/>
      </c>
      <c r="AC41" t="str">
        <f t="shared" si="5"/>
        <v/>
      </c>
      <c r="AD41" t="str">
        <f>IF(AA41="","",IF(COUNTIF($AA$2:AA41,AA41)=1,MAX($AD$1:AD40)+1,""))</f>
        <v/>
      </c>
    </row>
    <row r="42" spans="1:30" ht="19.5" customHeight="1" x14ac:dyDescent="0.2">
      <c r="A42" s="10" t="s">
        <v>67</v>
      </c>
      <c r="B42" s="11"/>
      <c r="C42" s="12">
        <v>41</v>
      </c>
      <c r="D42" s="10"/>
      <c r="E42" s="10"/>
      <c r="F42" s="13"/>
      <c r="G42" s="10"/>
      <c r="H42" s="3"/>
      <c r="I42" s="10"/>
      <c r="J42" s="10"/>
      <c r="M42" s="14"/>
      <c r="AA42" t="str">
        <f t="shared" si="3"/>
        <v/>
      </c>
      <c r="AB42" t="str">
        <f t="shared" si="4"/>
        <v/>
      </c>
      <c r="AC42" t="str">
        <f t="shared" si="5"/>
        <v/>
      </c>
      <c r="AD42" t="str">
        <f>IF(AA42="","",IF(COUNTIF($AA$2:AA42,AA42)=1,MAX($AD$1:AD41)+1,""))</f>
        <v/>
      </c>
    </row>
    <row r="43" spans="1:30" ht="19.5" customHeight="1" x14ac:dyDescent="0.2">
      <c r="A43" s="10" t="s">
        <v>68</v>
      </c>
      <c r="B43" s="15"/>
      <c r="C43" s="16">
        <v>42</v>
      </c>
      <c r="D43" s="17"/>
      <c r="E43" s="17"/>
      <c r="F43" s="13"/>
      <c r="G43" s="17"/>
      <c r="H43" s="3"/>
      <c r="I43" s="17"/>
      <c r="J43" s="17"/>
      <c r="M43" s="14"/>
      <c r="AA43" t="str">
        <f t="shared" si="3"/>
        <v/>
      </c>
      <c r="AB43" t="str">
        <f t="shared" si="4"/>
        <v/>
      </c>
      <c r="AC43" t="str">
        <f t="shared" si="5"/>
        <v/>
      </c>
      <c r="AD43" t="str">
        <f>IF(AA43="","",IF(COUNTIF($AA$2:AA43,AA43)=1,MAX($AD$1:AD42)+1,""))</f>
        <v/>
      </c>
    </row>
    <row r="44" spans="1:30" ht="19.5" customHeight="1" x14ac:dyDescent="0.2">
      <c r="A44" s="10" t="s">
        <v>69</v>
      </c>
      <c r="B44" s="11"/>
      <c r="C44" s="12">
        <v>43</v>
      </c>
      <c r="D44" s="10"/>
      <c r="E44" s="10"/>
      <c r="F44" s="13"/>
      <c r="G44" s="10"/>
      <c r="H44" s="3"/>
      <c r="I44" s="10"/>
      <c r="J44" s="10"/>
      <c r="M44" s="14"/>
      <c r="AA44" t="str">
        <f t="shared" si="3"/>
        <v/>
      </c>
      <c r="AB44" t="str">
        <f t="shared" si="4"/>
        <v/>
      </c>
      <c r="AC44" t="str">
        <f t="shared" si="5"/>
        <v/>
      </c>
      <c r="AD44" t="str">
        <f>IF(AA44="","",IF(COUNTIF($AA$2:AA44,AA44)=1,MAX($AD$1:AD43)+1,""))</f>
        <v/>
      </c>
    </row>
    <row r="45" spans="1:30" ht="19.5" customHeight="1" x14ac:dyDescent="0.2">
      <c r="A45" s="10" t="s">
        <v>70</v>
      </c>
      <c r="B45" s="15"/>
      <c r="C45" s="16">
        <v>44</v>
      </c>
      <c r="D45" s="17"/>
      <c r="E45" s="17"/>
      <c r="F45" s="13"/>
      <c r="G45" s="17"/>
      <c r="H45" s="3"/>
      <c r="I45" s="17"/>
      <c r="J45" s="17"/>
      <c r="M45" s="14"/>
      <c r="AA45" t="str">
        <f t="shared" si="3"/>
        <v/>
      </c>
      <c r="AB45" t="str">
        <f t="shared" si="4"/>
        <v/>
      </c>
      <c r="AC45" t="str">
        <f t="shared" si="5"/>
        <v/>
      </c>
      <c r="AD45" t="str">
        <f>IF(AA45="","",IF(COUNTIF($AA$2:AA45,AA45)=1,MAX($AD$1:AD44)+1,""))</f>
        <v/>
      </c>
    </row>
    <row r="46" spans="1:30" ht="19.5" customHeight="1" x14ac:dyDescent="0.2">
      <c r="A46" s="10" t="s">
        <v>71</v>
      </c>
      <c r="B46" s="11"/>
      <c r="C46" s="12">
        <v>45</v>
      </c>
      <c r="D46" s="10"/>
      <c r="E46" s="10"/>
      <c r="F46" s="13"/>
      <c r="G46" s="10"/>
      <c r="H46" s="3"/>
      <c r="I46" s="10"/>
      <c r="J46" s="10"/>
      <c r="M46" s="14"/>
      <c r="AA46" t="str">
        <f t="shared" si="3"/>
        <v/>
      </c>
      <c r="AB46" t="str">
        <f t="shared" si="4"/>
        <v/>
      </c>
      <c r="AC46" t="str">
        <f t="shared" si="5"/>
        <v/>
      </c>
      <c r="AD46" t="str">
        <f>IF(AA46="","",IF(COUNTIF($AA$2:AA46,AA46)=1,MAX($AD$1:AD45)+1,""))</f>
        <v/>
      </c>
    </row>
    <row r="47" spans="1:30" ht="19.5" customHeight="1" x14ac:dyDescent="0.2">
      <c r="A47" s="10" t="s">
        <v>72</v>
      </c>
      <c r="B47" s="15"/>
      <c r="C47" s="16">
        <v>46</v>
      </c>
      <c r="D47" s="17"/>
      <c r="E47" s="17"/>
      <c r="F47" s="13"/>
      <c r="G47" s="17"/>
      <c r="H47" s="3"/>
      <c r="I47" s="17"/>
      <c r="J47" s="17"/>
      <c r="M47" s="14"/>
      <c r="AA47" t="str">
        <f t="shared" si="3"/>
        <v/>
      </c>
      <c r="AB47" t="str">
        <f t="shared" si="4"/>
        <v/>
      </c>
      <c r="AC47" t="str">
        <f t="shared" si="5"/>
        <v/>
      </c>
      <c r="AD47" t="str">
        <f>IF(AA47="","",IF(COUNTIF($AA$2:AA47,AA47)=1,MAX($AD$1:AD46)+1,""))</f>
        <v/>
      </c>
    </row>
    <row r="48" spans="1:30" ht="19.5" customHeight="1" x14ac:dyDescent="0.2">
      <c r="A48" s="10" t="s">
        <v>73</v>
      </c>
      <c r="B48" s="11"/>
      <c r="C48" s="12">
        <v>47</v>
      </c>
      <c r="D48" s="10"/>
      <c r="E48" s="10"/>
      <c r="F48" s="13"/>
      <c r="G48" s="10"/>
      <c r="H48" s="3"/>
      <c r="I48" s="10"/>
      <c r="J48" s="10"/>
      <c r="M48" s="14"/>
      <c r="AA48" t="str">
        <f t="shared" si="3"/>
        <v/>
      </c>
      <c r="AB48" t="str">
        <f t="shared" si="4"/>
        <v/>
      </c>
      <c r="AC48" t="str">
        <f t="shared" si="5"/>
        <v/>
      </c>
      <c r="AD48" t="str">
        <f>IF(AA48="","",IF(COUNTIF($AA$2:AA48,AA48)=1,MAX($AD$1:AD47)+1,""))</f>
        <v/>
      </c>
    </row>
    <row r="49" spans="1:30" ht="19.5" customHeight="1" x14ac:dyDescent="0.2">
      <c r="A49" s="10" t="s">
        <v>74</v>
      </c>
      <c r="B49" s="15"/>
      <c r="C49" s="16">
        <v>48</v>
      </c>
      <c r="D49" s="17"/>
      <c r="E49" s="17"/>
      <c r="F49" s="13"/>
      <c r="G49" s="17"/>
      <c r="H49" s="3"/>
      <c r="I49" s="17"/>
      <c r="J49" s="17"/>
      <c r="M49" s="14"/>
      <c r="AA49" t="str">
        <f t="shared" si="3"/>
        <v/>
      </c>
      <c r="AB49" t="str">
        <f t="shared" si="4"/>
        <v/>
      </c>
      <c r="AC49" t="str">
        <f t="shared" si="5"/>
        <v/>
      </c>
      <c r="AD49" t="str">
        <f>IF(AA49="","",IF(COUNTIF($AA$2:AA49,AA49)=1,MAX($AD$1:AD48)+1,""))</f>
        <v/>
      </c>
    </row>
    <row r="50" spans="1:30" ht="19.5" customHeight="1" x14ac:dyDescent="0.2">
      <c r="A50" s="10"/>
      <c r="B50" s="11"/>
      <c r="C50" s="12">
        <v>49</v>
      </c>
      <c r="D50" s="10"/>
      <c r="E50" s="10"/>
      <c r="F50" s="13"/>
      <c r="G50" s="10"/>
      <c r="H50" s="3"/>
      <c r="I50" s="10"/>
      <c r="J50" s="10"/>
      <c r="M50" s="14"/>
      <c r="AA50" t="str">
        <f t="shared" si="3"/>
        <v/>
      </c>
      <c r="AB50" t="str">
        <f t="shared" si="4"/>
        <v/>
      </c>
      <c r="AC50" t="str">
        <f t="shared" si="5"/>
        <v/>
      </c>
      <c r="AD50" t="str">
        <f>IF(AA50="","",IF(COUNTIF($AA$2:AA50,AA50)=1,MAX($AD$1:AD49)+1,""))</f>
        <v/>
      </c>
    </row>
    <row r="51" spans="1:30" ht="19.5" customHeight="1" x14ac:dyDescent="0.2">
      <c r="A51" s="17"/>
      <c r="B51" s="15"/>
      <c r="C51" s="16">
        <v>50</v>
      </c>
      <c r="D51" s="17"/>
      <c r="E51" s="17"/>
      <c r="F51" s="13"/>
      <c r="G51" s="17"/>
      <c r="H51" s="3"/>
      <c r="I51" s="17"/>
      <c r="J51" s="17"/>
      <c r="M51" s="14"/>
      <c r="AA51" t="str">
        <f t="shared" si="3"/>
        <v/>
      </c>
      <c r="AB51" t="str">
        <f t="shared" si="4"/>
        <v/>
      </c>
      <c r="AC51" t="str">
        <f t="shared" si="5"/>
        <v/>
      </c>
      <c r="AD51" t="str">
        <f>IF(AA51="","",IF(COUNTIF($AA$2:AA51,AA51)=1,MAX($AD$1:AD50)+1,""))</f>
        <v/>
      </c>
    </row>
    <row r="52" spans="1:30" ht="19.5" customHeight="1" x14ac:dyDescent="0.2">
      <c r="A52" s="10"/>
      <c r="B52" s="11"/>
      <c r="C52" s="12">
        <v>51</v>
      </c>
      <c r="D52" s="10"/>
      <c r="E52" s="10"/>
      <c r="F52" s="13"/>
      <c r="G52" s="10"/>
      <c r="H52" s="3"/>
      <c r="I52" s="10"/>
      <c r="J52" s="10"/>
      <c r="M52" s="14"/>
      <c r="AA52" t="str">
        <f t="shared" si="3"/>
        <v/>
      </c>
      <c r="AB52" t="str">
        <f t="shared" si="4"/>
        <v/>
      </c>
      <c r="AC52" t="str">
        <f t="shared" si="5"/>
        <v/>
      </c>
      <c r="AD52" t="str">
        <f>IF(AA52="","",IF(COUNTIF($AA$2:AA52,AA52)=1,MAX($AD$1:AD51)+1,""))</f>
        <v/>
      </c>
    </row>
    <row r="53" spans="1:30" ht="19.5" customHeight="1" x14ac:dyDescent="0.2">
      <c r="A53" s="17"/>
      <c r="B53" s="15"/>
      <c r="C53" s="16">
        <v>52</v>
      </c>
      <c r="D53" s="17"/>
      <c r="E53" s="17"/>
      <c r="F53" s="13"/>
      <c r="G53" s="17"/>
      <c r="H53" s="3"/>
      <c r="I53" s="17"/>
      <c r="J53" s="17"/>
      <c r="M53" s="14"/>
      <c r="AA53" t="str">
        <f t="shared" si="3"/>
        <v/>
      </c>
      <c r="AB53" t="str">
        <f t="shared" si="4"/>
        <v/>
      </c>
      <c r="AC53" t="str">
        <f t="shared" si="5"/>
        <v/>
      </c>
      <c r="AD53" t="str">
        <f>IF(AA53="","",IF(COUNTIF($AA$2:AA53,AA53)=1,MAX($AD$1:AD52)+1,""))</f>
        <v/>
      </c>
    </row>
    <row r="54" spans="1:30" ht="19.5" customHeight="1" x14ac:dyDescent="0.2">
      <c r="A54" s="10"/>
      <c r="B54" s="11"/>
      <c r="C54" s="12">
        <v>53</v>
      </c>
      <c r="D54" s="10"/>
      <c r="E54" s="10"/>
      <c r="F54" s="13"/>
      <c r="G54" s="10"/>
      <c r="H54" s="3"/>
      <c r="I54" s="10"/>
      <c r="J54" s="10"/>
      <c r="M54" s="14"/>
      <c r="AA54" t="str">
        <f t="shared" si="3"/>
        <v/>
      </c>
      <c r="AB54" t="str">
        <f t="shared" si="4"/>
        <v/>
      </c>
      <c r="AC54" t="str">
        <f t="shared" si="5"/>
        <v/>
      </c>
      <c r="AD54" t="str">
        <f>IF(AA54="","",IF(COUNTIF($AA$2:AA54,AA54)=1,MAX($AD$1:AD53)+1,""))</f>
        <v/>
      </c>
    </row>
    <row r="55" spans="1:30" ht="19.5" customHeight="1" x14ac:dyDescent="0.2">
      <c r="A55" s="17"/>
      <c r="B55" s="15"/>
      <c r="C55" s="16">
        <v>54</v>
      </c>
      <c r="D55" s="17"/>
      <c r="E55" s="17"/>
      <c r="F55" s="13"/>
      <c r="G55" s="17"/>
      <c r="H55" s="3"/>
      <c r="I55" s="17"/>
      <c r="J55" s="17"/>
      <c r="M55" s="14"/>
      <c r="AA55" t="str">
        <f t="shared" si="3"/>
        <v/>
      </c>
      <c r="AB55" t="str">
        <f t="shared" si="4"/>
        <v/>
      </c>
      <c r="AC55" t="str">
        <f t="shared" si="5"/>
        <v/>
      </c>
      <c r="AD55" t="str">
        <f>IF(AA55="","",IF(COUNTIF($AA$2:AA55,AA55)=1,MAX($AD$1:AD54)+1,""))</f>
        <v/>
      </c>
    </row>
    <row r="56" spans="1:30" ht="19.5" customHeight="1" x14ac:dyDescent="0.2">
      <c r="A56" s="10"/>
      <c r="B56" s="11"/>
      <c r="C56" s="12">
        <v>55</v>
      </c>
      <c r="D56" s="10"/>
      <c r="E56" s="10"/>
      <c r="F56" s="13"/>
      <c r="G56" s="10"/>
      <c r="H56" s="3"/>
      <c r="I56" s="10"/>
      <c r="J56" s="10"/>
      <c r="M56" s="14"/>
      <c r="AA56" t="str">
        <f t="shared" si="3"/>
        <v/>
      </c>
      <c r="AB56" t="str">
        <f t="shared" si="4"/>
        <v/>
      </c>
      <c r="AC56" t="str">
        <f t="shared" si="5"/>
        <v/>
      </c>
      <c r="AD56" t="str">
        <f>IF(AA56="","",IF(COUNTIF($AA$2:AA56,AA56)=1,MAX($AD$1:AD55)+1,""))</f>
        <v/>
      </c>
    </row>
    <row r="57" spans="1:30" ht="19.5" customHeight="1" x14ac:dyDescent="0.2">
      <c r="A57" s="17"/>
      <c r="B57" s="15"/>
      <c r="C57" s="16">
        <v>56</v>
      </c>
      <c r="D57" s="17"/>
      <c r="E57" s="17"/>
      <c r="F57" s="13"/>
      <c r="G57" s="17"/>
      <c r="H57" s="3"/>
      <c r="I57" s="17"/>
      <c r="J57" s="17"/>
      <c r="M57" s="14"/>
      <c r="AA57" t="str">
        <f t="shared" si="3"/>
        <v/>
      </c>
      <c r="AB57" t="str">
        <f t="shared" si="4"/>
        <v/>
      </c>
      <c r="AC57" t="str">
        <f t="shared" si="5"/>
        <v/>
      </c>
      <c r="AD57" t="str">
        <f>IF(AA57="","",IF(COUNTIF($AA$2:AA57,AA57)=1,MAX($AD$1:AD56)+1,""))</f>
        <v/>
      </c>
    </row>
    <row r="58" spans="1:30" ht="19.5" customHeight="1" x14ac:dyDescent="0.2">
      <c r="A58" s="10"/>
      <c r="B58" s="11"/>
      <c r="C58" s="12">
        <v>57</v>
      </c>
      <c r="D58" s="10"/>
      <c r="E58" s="10"/>
      <c r="F58" s="13"/>
      <c r="G58" s="10"/>
      <c r="H58" s="3"/>
      <c r="I58" s="10"/>
      <c r="J58" s="10"/>
      <c r="M58" s="14"/>
      <c r="AA58" t="str">
        <f t="shared" si="3"/>
        <v/>
      </c>
      <c r="AB58" t="str">
        <f t="shared" si="4"/>
        <v/>
      </c>
      <c r="AC58" t="str">
        <f t="shared" si="5"/>
        <v/>
      </c>
      <c r="AD58" t="str">
        <f>IF(AA58="","",IF(COUNTIF($AA$2:AA58,AA58)=1,MAX($AD$1:AD57)+1,""))</f>
        <v/>
      </c>
    </row>
    <row r="59" spans="1:30" ht="19.5" customHeight="1" x14ac:dyDescent="0.2">
      <c r="A59" s="17"/>
      <c r="B59" s="15"/>
      <c r="C59" s="16">
        <v>58</v>
      </c>
      <c r="D59" s="17"/>
      <c r="E59" s="17"/>
      <c r="F59" s="13"/>
      <c r="G59" s="17"/>
      <c r="H59" s="3"/>
      <c r="I59" s="17"/>
      <c r="J59" s="17"/>
      <c r="M59" s="14"/>
      <c r="AA59" t="str">
        <f t="shared" si="3"/>
        <v/>
      </c>
      <c r="AB59" t="str">
        <f t="shared" si="4"/>
        <v/>
      </c>
      <c r="AC59" t="str">
        <f t="shared" si="5"/>
        <v/>
      </c>
      <c r="AD59" t="str">
        <f>IF(AA59="","",IF(COUNTIF($AA$2:AA59,AA59)=1,MAX($AD$1:AD58)+1,""))</f>
        <v/>
      </c>
    </row>
    <row r="60" spans="1:30" ht="19.5" customHeight="1" x14ac:dyDescent="0.2">
      <c r="A60" s="10"/>
      <c r="B60" s="11"/>
      <c r="C60" s="12">
        <v>59</v>
      </c>
      <c r="D60" s="10"/>
      <c r="E60" s="10"/>
      <c r="F60" s="13"/>
      <c r="G60" s="10"/>
      <c r="H60" s="3"/>
      <c r="I60" s="10"/>
      <c r="J60" s="10"/>
      <c r="M60" s="14"/>
      <c r="AA60" t="str">
        <f t="shared" si="3"/>
        <v/>
      </c>
      <c r="AB60" t="str">
        <f t="shared" si="4"/>
        <v/>
      </c>
      <c r="AC60" t="str">
        <f t="shared" si="5"/>
        <v/>
      </c>
      <c r="AD60" t="str">
        <f>IF(AA60="","",IF(COUNTIF($AA$2:AA60,AA60)=1,MAX($AD$1:AD59)+1,""))</f>
        <v/>
      </c>
    </row>
    <row r="61" spans="1:30" ht="19.5" customHeight="1" x14ac:dyDescent="0.2">
      <c r="A61" s="17"/>
      <c r="B61" s="15"/>
      <c r="C61" s="16">
        <v>60</v>
      </c>
      <c r="D61" s="17"/>
      <c r="E61" s="17"/>
      <c r="F61" s="13"/>
      <c r="G61" s="17"/>
      <c r="H61" s="3"/>
      <c r="I61" s="17"/>
      <c r="J61" s="17"/>
      <c r="M61" s="14"/>
      <c r="AA61" t="str">
        <f t="shared" si="3"/>
        <v/>
      </c>
      <c r="AB61" t="str">
        <f t="shared" si="4"/>
        <v/>
      </c>
      <c r="AC61" t="str">
        <f t="shared" si="5"/>
        <v/>
      </c>
      <c r="AD61" t="str">
        <f>IF(AA61="","",IF(COUNTIF($AA$2:AA61,AA61)=1,MAX($AD$1:AD60)+1,""))</f>
        <v/>
      </c>
    </row>
    <row r="62" spans="1:30" ht="19.5" customHeight="1" x14ac:dyDescent="0.2">
      <c r="A62" s="10"/>
      <c r="B62" s="11"/>
      <c r="C62" s="12">
        <v>61</v>
      </c>
      <c r="D62" s="10"/>
      <c r="E62" s="10"/>
      <c r="F62" s="13"/>
      <c r="G62" s="10"/>
      <c r="H62" s="3"/>
      <c r="I62" s="10"/>
      <c r="J62" s="10"/>
      <c r="M62" s="14"/>
      <c r="N62" s="4"/>
      <c r="AA62" t="str">
        <f t="shared" si="3"/>
        <v/>
      </c>
      <c r="AB62" t="str">
        <f t="shared" si="4"/>
        <v/>
      </c>
      <c r="AC62" t="str">
        <f t="shared" si="5"/>
        <v/>
      </c>
      <c r="AD62" t="str">
        <f>IF(AA62="","",IF(COUNTIF($AA$2:AA62,AA62)=1,MAX($AD$1:AD61)+1,""))</f>
        <v/>
      </c>
    </row>
    <row r="63" spans="1:30" ht="19.5" customHeight="1" x14ac:dyDescent="0.2">
      <c r="A63" s="17"/>
      <c r="B63" s="15"/>
      <c r="C63" s="16">
        <v>62</v>
      </c>
      <c r="D63" s="17"/>
      <c r="E63" s="17"/>
      <c r="F63" s="13"/>
      <c r="G63" s="17"/>
      <c r="H63" s="3"/>
      <c r="I63" s="17"/>
      <c r="J63" s="17"/>
      <c r="M63" s="14"/>
      <c r="N63" s="4"/>
      <c r="AA63" t="str">
        <f t="shared" si="3"/>
        <v/>
      </c>
      <c r="AB63" t="str">
        <f t="shared" si="4"/>
        <v/>
      </c>
      <c r="AC63" t="str">
        <f t="shared" si="5"/>
        <v/>
      </c>
      <c r="AD63" t="str">
        <f>IF(AA63="","",IF(COUNTIF($AA$2:AA63,AA63)=1,MAX($AD$1:AD62)+1,""))</f>
        <v/>
      </c>
    </row>
    <row r="64" spans="1:30" ht="19.5" customHeight="1" x14ac:dyDescent="0.2">
      <c r="A64" s="10"/>
      <c r="B64" s="11"/>
      <c r="C64" s="12">
        <v>63</v>
      </c>
      <c r="D64" s="10"/>
      <c r="E64" s="10"/>
      <c r="F64" s="13"/>
      <c r="G64" s="10"/>
      <c r="H64" s="3"/>
      <c r="I64" s="10"/>
      <c r="J64" s="10"/>
      <c r="M64" s="14"/>
      <c r="N64" s="4"/>
      <c r="AA64" t="str">
        <f t="shared" si="3"/>
        <v/>
      </c>
      <c r="AB64" t="str">
        <f t="shared" si="4"/>
        <v/>
      </c>
      <c r="AC64" t="str">
        <f t="shared" si="5"/>
        <v/>
      </c>
      <c r="AD64" t="str">
        <f>IF(AA64="","",IF(COUNTIF($AA$2:AA64,AA64)=1,MAX($AD$1:AD63)+1,""))</f>
        <v/>
      </c>
    </row>
    <row r="65" spans="1:30" ht="19.5" customHeight="1" x14ac:dyDescent="0.2">
      <c r="A65" s="17"/>
      <c r="B65" s="15"/>
      <c r="C65" s="16">
        <v>64</v>
      </c>
      <c r="D65" s="17"/>
      <c r="E65" s="17"/>
      <c r="F65" s="13"/>
      <c r="G65" s="17"/>
      <c r="H65" s="3"/>
      <c r="I65" s="17"/>
      <c r="J65" s="17"/>
      <c r="M65" s="14"/>
      <c r="N65" s="4"/>
      <c r="AA65" t="str">
        <f t="shared" si="3"/>
        <v/>
      </c>
      <c r="AB65" t="str">
        <f t="shared" si="4"/>
        <v/>
      </c>
      <c r="AC65" t="str">
        <f t="shared" si="5"/>
        <v/>
      </c>
      <c r="AD65" t="str">
        <f>IF(AA65="","",IF(COUNTIF($AA$2:AA65,AA65)=1,MAX($AD$1:AD64)+1,""))</f>
        <v/>
      </c>
    </row>
    <row r="66" spans="1:30" ht="19.5" customHeight="1" x14ac:dyDescent="0.2">
      <c r="A66" s="10"/>
      <c r="B66" s="11"/>
      <c r="C66" s="12">
        <v>65</v>
      </c>
      <c r="D66" s="10"/>
      <c r="E66" s="10"/>
      <c r="F66" s="13"/>
      <c r="G66" s="10"/>
      <c r="H66" s="3"/>
      <c r="I66" s="10"/>
      <c r="J66" s="10"/>
      <c r="M66" s="14"/>
      <c r="N66" s="4"/>
      <c r="AA66" t="str">
        <f t="shared" ref="AA66:AA101" si="6">IF(E66="","",E66)</f>
        <v/>
      </c>
      <c r="AB66" t="str">
        <f t="shared" ref="AB66:AB101" si="7">IF(G66="","",G66)</f>
        <v/>
      </c>
      <c r="AC66" t="str">
        <f t="shared" ref="AC66:AC101" si="8">IF(D66="","",D66)</f>
        <v/>
      </c>
      <c r="AD66" t="str">
        <f>IF(AA66="","",IF(COUNTIF($AA$2:AA66,AA66)=1,MAX($AD$1:AD65)+1,""))</f>
        <v/>
      </c>
    </row>
    <row r="67" spans="1:30" ht="19.5" customHeight="1" x14ac:dyDescent="0.2">
      <c r="A67" s="17"/>
      <c r="B67" s="15"/>
      <c r="C67" s="16">
        <v>66</v>
      </c>
      <c r="D67" s="17"/>
      <c r="E67" s="17"/>
      <c r="F67" s="13"/>
      <c r="G67" s="17"/>
      <c r="H67" s="3"/>
      <c r="I67" s="17"/>
      <c r="J67" s="17"/>
      <c r="M67" s="14"/>
      <c r="N67" s="4"/>
      <c r="AA67" t="str">
        <f t="shared" si="6"/>
        <v/>
      </c>
      <c r="AB67" t="str">
        <f t="shared" si="7"/>
        <v/>
      </c>
      <c r="AC67" t="str">
        <f t="shared" si="8"/>
        <v/>
      </c>
      <c r="AD67" t="str">
        <f>IF(AA67="","",IF(COUNTIF($AA$2:AA67,AA67)=1,MAX($AD$1:AD66)+1,""))</f>
        <v/>
      </c>
    </row>
    <row r="68" spans="1:30" ht="19.5" customHeight="1" x14ac:dyDescent="0.2">
      <c r="A68" s="10"/>
      <c r="B68" s="11"/>
      <c r="C68" s="12">
        <v>67</v>
      </c>
      <c r="D68" s="10"/>
      <c r="E68" s="10"/>
      <c r="F68" s="13"/>
      <c r="G68" s="10"/>
      <c r="H68" s="3"/>
      <c r="I68" s="10"/>
      <c r="J68" s="10"/>
      <c r="M68" s="14"/>
      <c r="N68" s="4"/>
      <c r="AA68" t="str">
        <f t="shared" si="6"/>
        <v/>
      </c>
      <c r="AB68" t="str">
        <f t="shared" si="7"/>
        <v/>
      </c>
      <c r="AC68" t="str">
        <f t="shared" si="8"/>
        <v/>
      </c>
      <c r="AD68" t="str">
        <f>IF(AA68="","",IF(COUNTIF($AA$2:AA68,AA68)=1,MAX($AD$1:AD67)+1,""))</f>
        <v/>
      </c>
    </row>
    <row r="69" spans="1:30" ht="19.5" customHeight="1" x14ac:dyDescent="0.2">
      <c r="A69" s="17"/>
      <c r="B69" s="15"/>
      <c r="C69" s="16">
        <v>68</v>
      </c>
      <c r="D69" s="17"/>
      <c r="E69" s="17"/>
      <c r="F69" s="13"/>
      <c r="G69" s="17"/>
      <c r="H69" s="3"/>
      <c r="I69" s="17"/>
      <c r="J69" s="17"/>
      <c r="M69" s="14"/>
      <c r="N69" s="4"/>
      <c r="AA69" t="str">
        <f t="shared" si="6"/>
        <v/>
      </c>
      <c r="AB69" t="str">
        <f t="shared" si="7"/>
        <v/>
      </c>
      <c r="AC69" t="str">
        <f t="shared" si="8"/>
        <v/>
      </c>
      <c r="AD69" t="str">
        <f>IF(AA69="","",IF(COUNTIF($AA$2:AA69,AA69)=1,MAX($AD$1:AD68)+1,""))</f>
        <v/>
      </c>
    </row>
    <row r="70" spans="1:30" ht="19.5" customHeight="1" x14ac:dyDescent="0.2">
      <c r="A70" s="10"/>
      <c r="B70" s="11"/>
      <c r="C70" s="12">
        <v>69</v>
      </c>
      <c r="D70" s="10"/>
      <c r="E70" s="10"/>
      <c r="F70" s="13"/>
      <c r="G70" s="10"/>
      <c r="H70" s="3"/>
      <c r="I70" s="10"/>
      <c r="J70" s="10"/>
      <c r="M70" s="14"/>
      <c r="N70" s="4"/>
      <c r="AA70" t="str">
        <f t="shared" si="6"/>
        <v/>
      </c>
      <c r="AB70" t="str">
        <f t="shared" si="7"/>
        <v/>
      </c>
      <c r="AC70" t="str">
        <f t="shared" si="8"/>
        <v/>
      </c>
      <c r="AD70" t="str">
        <f>IF(AA70="","",IF(COUNTIF($AA$2:AA70,AA70)=1,MAX($AD$1:AD69)+1,""))</f>
        <v/>
      </c>
    </row>
    <row r="71" spans="1:30" ht="19.5" customHeight="1" x14ac:dyDescent="0.2">
      <c r="A71" s="17"/>
      <c r="B71" s="15"/>
      <c r="C71" s="16">
        <v>70</v>
      </c>
      <c r="D71" s="17"/>
      <c r="E71" s="17"/>
      <c r="F71" s="13"/>
      <c r="G71" s="17"/>
      <c r="H71" s="3"/>
      <c r="I71" s="17"/>
      <c r="J71" s="17"/>
      <c r="M71" s="14"/>
      <c r="N71" s="4"/>
      <c r="AA71" t="str">
        <f t="shared" si="6"/>
        <v/>
      </c>
      <c r="AB71" t="str">
        <f t="shared" si="7"/>
        <v/>
      </c>
      <c r="AC71" t="str">
        <f t="shared" si="8"/>
        <v/>
      </c>
      <c r="AD71" t="str">
        <f>IF(AA71="","",IF(COUNTIF($AA$2:AA71,AA71)=1,MAX($AD$1:AD70)+1,""))</f>
        <v/>
      </c>
    </row>
    <row r="72" spans="1:30" ht="19.5" customHeight="1" x14ac:dyDescent="0.2">
      <c r="A72" s="10"/>
      <c r="B72" s="11"/>
      <c r="C72" s="12">
        <v>71</v>
      </c>
      <c r="D72" s="10"/>
      <c r="E72" s="10"/>
      <c r="F72" s="13"/>
      <c r="G72" s="10"/>
      <c r="H72" s="3"/>
      <c r="I72" s="10"/>
      <c r="J72" s="10"/>
      <c r="M72" s="14"/>
      <c r="N72" s="4"/>
      <c r="AA72" t="str">
        <f t="shared" si="6"/>
        <v/>
      </c>
      <c r="AB72" t="str">
        <f t="shared" si="7"/>
        <v/>
      </c>
      <c r="AC72" t="str">
        <f t="shared" si="8"/>
        <v/>
      </c>
      <c r="AD72" t="str">
        <f>IF(AA72="","",IF(COUNTIF($AA$2:AA72,AA72)=1,MAX($AD$1:AD71)+1,""))</f>
        <v/>
      </c>
    </row>
    <row r="73" spans="1:30" ht="19.5" customHeight="1" x14ac:dyDescent="0.2">
      <c r="A73" s="17"/>
      <c r="B73" s="15"/>
      <c r="C73" s="16">
        <v>72</v>
      </c>
      <c r="D73" s="17"/>
      <c r="E73" s="17"/>
      <c r="F73" s="13"/>
      <c r="G73" s="17"/>
      <c r="H73" s="3"/>
      <c r="I73" s="17"/>
      <c r="J73" s="17"/>
      <c r="M73" s="14"/>
      <c r="N73" s="4"/>
      <c r="AA73" t="str">
        <f t="shared" si="6"/>
        <v/>
      </c>
      <c r="AB73" t="str">
        <f t="shared" si="7"/>
        <v/>
      </c>
      <c r="AC73" t="str">
        <f t="shared" si="8"/>
        <v/>
      </c>
      <c r="AD73" t="str">
        <f>IF(AA73="","",IF(COUNTIF($AA$2:AA73,AA73)=1,MAX($AD$1:AD72)+1,""))</f>
        <v/>
      </c>
    </row>
    <row r="74" spans="1:30" ht="19.5" customHeight="1" x14ac:dyDescent="0.2">
      <c r="A74" s="10"/>
      <c r="B74" s="11"/>
      <c r="C74" s="12">
        <v>73</v>
      </c>
      <c r="D74" s="10"/>
      <c r="E74" s="10"/>
      <c r="F74" s="13"/>
      <c r="G74" s="10"/>
      <c r="H74" s="3"/>
      <c r="I74" s="10"/>
      <c r="J74" s="10"/>
      <c r="M74" s="14"/>
      <c r="N74" s="4"/>
      <c r="AA74" t="str">
        <f t="shared" si="6"/>
        <v/>
      </c>
      <c r="AB74" t="str">
        <f t="shared" si="7"/>
        <v/>
      </c>
      <c r="AC74" t="str">
        <f t="shared" si="8"/>
        <v/>
      </c>
      <c r="AD74" t="str">
        <f>IF(AA74="","",IF(COUNTIF($AA$2:AA74,AA74)=1,MAX($AD$1:AD73)+1,""))</f>
        <v/>
      </c>
    </row>
    <row r="75" spans="1:30" ht="19.5" customHeight="1" x14ac:dyDescent="0.2">
      <c r="A75" s="17"/>
      <c r="B75" s="15"/>
      <c r="C75" s="16">
        <v>74</v>
      </c>
      <c r="D75" s="17"/>
      <c r="E75" s="17"/>
      <c r="F75" s="13"/>
      <c r="G75" s="17"/>
      <c r="H75" s="3"/>
      <c r="I75" s="17"/>
      <c r="J75" s="17"/>
      <c r="M75" s="14"/>
      <c r="N75" s="4"/>
      <c r="AA75" t="str">
        <f t="shared" si="6"/>
        <v/>
      </c>
      <c r="AB75" t="str">
        <f t="shared" si="7"/>
        <v/>
      </c>
      <c r="AC75" t="str">
        <f t="shared" si="8"/>
        <v/>
      </c>
      <c r="AD75" t="str">
        <f>IF(AA75="","",IF(COUNTIF($AA$2:AA75,AA75)=1,MAX($AD$1:AD74)+1,""))</f>
        <v/>
      </c>
    </row>
    <row r="76" spans="1:30" ht="19.5" customHeight="1" x14ac:dyDescent="0.2">
      <c r="A76" s="10"/>
      <c r="B76" s="11"/>
      <c r="C76" s="12">
        <v>75</v>
      </c>
      <c r="D76" s="10"/>
      <c r="E76" s="10"/>
      <c r="F76" s="13"/>
      <c r="G76" s="10"/>
      <c r="H76" s="3"/>
      <c r="I76" s="10"/>
      <c r="J76" s="10"/>
      <c r="M76" s="14"/>
      <c r="N76" s="4"/>
      <c r="AA76" t="str">
        <f t="shared" si="6"/>
        <v/>
      </c>
      <c r="AB76" t="str">
        <f t="shared" si="7"/>
        <v/>
      </c>
      <c r="AC76" t="str">
        <f t="shared" si="8"/>
        <v/>
      </c>
      <c r="AD76" t="str">
        <f>IF(AA76="","",IF(COUNTIF($AA$2:AA76,AA76)=1,MAX($AD$1:AD75)+1,""))</f>
        <v/>
      </c>
    </row>
    <row r="77" spans="1:30" ht="19.5" customHeight="1" x14ac:dyDescent="0.2">
      <c r="A77" s="17"/>
      <c r="B77" s="15"/>
      <c r="C77" s="16">
        <v>76</v>
      </c>
      <c r="D77" s="17"/>
      <c r="E77" s="17"/>
      <c r="F77" s="13"/>
      <c r="G77" s="17"/>
      <c r="H77" s="3"/>
      <c r="I77" s="17"/>
      <c r="J77" s="17"/>
      <c r="M77" s="14"/>
      <c r="N77" s="4"/>
      <c r="AA77" t="str">
        <f t="shared" si="6"/>
        <v/>
      </c>
      <c r="AB77" t="str">
        <f t="shared" si="7"/>
        <v/>
      </c>
      <c r="AC77" t="str">
        <f t="shared" si="8"/>
        <v/>
      </c>
      <c r="AD77" t="str">
        <f>IF(AA77="","",IF(COUNTIF($AA$2:AA77,AA77)=1,MAX($AD$1:AD76)+1,""))</f>
        <v/>
      </c>
    </row>
    <row r="78" spans="1:30" ht="19.5" customHeight="1" x14ac:dyDescent="0.2">
      <c r="A78" s="10"/>
      <c r="B78" s="11"/>
      <c r="C78" s="12">
        <v>77</v>
      </c>
      <c r="D78" s="10"/>
      <c r="E78" s="10"/>
      <c r="F78" s="13"/>
      <c r="G78" s="10"/>
      <c r="H78" s="3"/>
      <c r="I78" s="10"/>
      <c r="J78" s="10"/>
      <c r="M78" s="14"/>
      <c r="N78" s="4"/>
      <c r="AA78" t="str">
        <f t="shared" si="6"/>
        <v/>
      </c>
      <c r="AB78" t="str">
        <f t="shared" si="7"/>
        <v/>
      </c>
      <c r="AC78" t="str">
        <f t="shared" si="8"/>
        <v/>
      </c>
      <c r="AD78" t="str">
        <f>IF(AA78="","",IF(COUNTIF($AA$2:AA78,AA78)=1,MAX($AD$1:AD77)+1,""))</f>
        <v/>
      </c>
    </row>
    <row r="79" spans="1:30" ht="19.5" customHeight="1" x14ac:dyDescent="0.2">
      <c r="A79" s="17"/>
      <c r="B79" s="15"/>
      <c r="C79" s="16">
        <v>78</v>
      </c>
      <c r="D79" s="17"/>
      <c r="E79" s="17"/>
      <c r="F79" s="13"/>
      <c r="G79" s="17"/>
      <c r="H79" s="3"/>
      <c r="I79" s="17"/>
      <c r="J79" s="17"/>
      <c r="M79" s="14"/>
      <c r="N79" s="4"/>
      <c r="AA79" t="str">
        <f t="shared" si="6"/>
        <v/>
      </c>
      <c r="AB79" t="str">
        <f t="shared" si="7"/>
        <v/>
      </c>
      <c r="AC79" t="str">
        <f t="shared" si="8"/>
        <v/>
      </c>
      <c r="AD79" t="str">
        <f>IF(AA79="","",IF(COUNTIF($AA$2:AA79,AA79)=1,MAX($AD$1:AD78)+1,""))</f>
        <v/>
      </c>
    </row>
    <row r="80" spans="1:30" ht="19.5" customHeight="1" x14ac:dyDescent="0.2">
      <c r="A80" s="10"/>
      <c r="B80" s="11"/>
      <c r="C80" s="12">
        <v>79</v>
      </c>
      <c r="D80" s="10"/>
      <c r="E80" s="10"/>
      <c r="F80" s="13"/>
      <c r="G80" s="10"/>
      <c r="H80" s="3"/>
      <c r="I80" s="10"/>
      <c r="J80" s="10"/>
      <c r="M80" s="14"/>
      <c r="N80" s="4"/>
      <c r="AA80" t="str">
        <f t="shared" si="6"/>
        <v/>
      </c>
      <c r="AB80" t="str">
        <f t="shared" si="7"/>
        <v/>
      </c>
      <c r="AC80" t="str">
        <f t="shared" si="8"/>
        <v/>
      </c>
      <c r="AD80" t="str">
        <f>IF(AA80="","",IF(COUNTIF($AA$2:AA80,AA80)=1,MAX($AD$1:AD79)+1,""))</f>
        <v/>
      </c>
    </row>
    <row r="81" spans="1:30" ht="19.5" customHeight="1" x14ac:dyDescent="0.2">
      <c r="A81" s="17"/>
      <c r="B81" s="15"/>
      <c r="C81" s="16">
        <v>80</v>
      </c>
      <c r="D81" s="17"/>
      <c r="E81" s="17"/>
      <c r="F81" s="13"/>
      <c r="G81" s="17"/>
      <c r="H81" s="3"/>
      <c r="I81" s="17"/>
      <c r="J81" s="17"/>
      <c r="M81" s="14"/>
      <c r="N81" s="4"/>
      <c r="AA81" t="str">
        <f t="shared" si="6"/>
        <v/>
      </c>
      <c r="AB81" t="str">
        <f t="shared" si="7"/>
        <v/>
      </c>
      <c r="AC81" t="str">
        <f t="shared" si="8"/>
        <v/>
      </c>
      <c r="AD81" t="str">
        <f>IF(AA81="","",IF(COUNTIF($AA$2:AA81,AA81)=1,MAX($AD$1:AD80)+1,""))</f>
        <v/>
      </c>
    </row>
    <row r="82" spans="1:30" ht="19.5" customHeight="1" x14ac:dyDescent="0.2">
      <c r="A82" s="10"/>
      <c r="B82" s="11"/>
      <c r="C82" s="12">
        <v>81</v>
      </c>
      <c r="D82" s="10"/>
      <c r="E82" s="10"/>
      <c r="F82" s="13"/>
      <c r="G82" s="10"/>
      <c r="H82" s="3"/>
      <c r="I82" s="10"/>
      <c r="J82" s="10"/>
      <c r="M82" s="14"/>
      <c r="N82" s="4"/>
      <c r="AA82" t="str">
        <f t="shared" si="6"/>
        <v/>
      </c>
      <c r="AB82" t="str">
        <f t="shared" si="7"/>
        <v/>
      </c>
      <c r="AC82" t="str">
        <f t="shared" si="8"/>
        <v/>
      </c>
      <c r="AD82" t="str">
        <f>IF(AA82="","",IF(COUNTIF($AA$2:AA82,AA82)=1,MAX($AD$1:AD81)+1,""))</f>
        <v/>
      </c>
    </row>
    <row r="83" spans="1:30" ht="19.5" customHeight="1" x14ac:dyDescent="0.2">
      <c r="A83" s="17"/>
      <c r="B83" s="15"/>
      <c r="C83" s="16">
        <v>82</v>
      </c>
      <c r="D83" s="17"/>
      <c r="E83" s="17"/>
      <c r="F83" s="13"/>
      <c r="G83" s="17"/>
      <c r="H83" s="3"/>
      <c r="I83" s="17"/>
      <c r="J83" s="17"/>
      <c r="M83" s="14"/>
      <c r="N83" s="4"/>
      <c r="AA83" t="str">
        <f t="shared" si="6"/>
        <v/>
      </c>
      <c r="AB83" t="str">
        <f t="shared" si="7"/>
        <v/>
      </c>
      <c r="AC83" t="str">
        <f t="shared" si="8"/>
        <v/>
      </c>
      <c r="AD83" t="str">
        <f>IF(AA83="","",IF(COUNTIF($AA$2:AA83,AA83)=1,MAX($AD$1:AD82)+1,""))</f>
        <v/>
      </c>
    </row>
    <row r="84" spans="1:30" ht="19.5" customHeight="1" x14ac:dyDescent="0.2">
      <c r="A84" s="10"/>
      <c r="B84" s="11"/>
      <c r="C84" s="12">
        <v>83</v>
      </c>
      <c r="D84" s="10"/>
      <c r="E84" s="10"/>
      <c r="F84" s="13"/>
      <c r="G84" s="10"/>
      <c r="H84" s="3"/>
      <c r="I84" s="10"/>
      <c r="J84" s="10"/>
      <c r="M84" s="14"/>
      <c r="N84" s="4"/>
      <c r="AA84" t="str">
        <f t="shared" si="6"/>
        <v/>
      </c>
      <c r="AB84" t="str">
        <f t="shared" si="7"/>
        <v/>
      </c>
      <c r="AC84" t="str">
        <f t="shared" si="8"/>
        <v/>
      </c>
      <c r="AD84" t="str">
        <f>IF(AA84="","",IF(COUNTIF($AA$2:AA84,AA84)=1,MAX($AD$1:AD83)+1,""))</f>
        <v/>
      </c>
    </row>
    <row r="85" spans="1:30" ht="19.5" customHeight="1" x14ac:dyDescent="0.2">
      <c r="A85" s="17"/>
      <c r="B85" s="15"/>
      <c r="C85" s="16">
        <v>84</v>
      </c>
      <c r="D85" s="17"/>
      <c r="E85" s="17"/>
      <c r="F85" s="13"/>
      <c r="G85" s="17"/>
      <c r="H85" s="3"/>
      <c r="I85" s="17"/>
      <c r="J85" s="17"/>
      <c r="M85" s="14"/>
      <c r="N85" s="4"/>
      <c r="AA85" t="str">
        <f t="shared" si="6"/>
        <v/>
      </c>
      <c r="AB85" t="str">
        <f t="shared" si="7"/>
        <v/>
      </c>
      <c r="AC85" t="str">
        <f t="shared" si="8"/>
        <v/>
      </c>
      <c r="AD85" t="str">
        <f>IF(AA85="","",IF(COUNTIF($AA$2:AA85,AA85)=1,MAX($AD$1:AD84)+1,""))</f>
        <v/>
      </c>
    </row>
    <row r="86" spans="1:30" ht="19.5" customHeight="1" x14ac:dyDescent="0.2">
      <c r="A86" s="10"/>
      <c r="B86" s="11"/>
      <c r="C86" s="12">
        <v>85</v>
      </c>
      <c r="D86" s="10"/>
      <c r="E86" s="10"/>
      <c r="F86" s="13"/>
      <c r="G86" s="10"/>
      <c r="H86" s="3"/>
      <c r="I86" s="10"/>
      <c r="J86" s="10"/>
      <c r="M86" s="14"/>
      <c r="N86" s="4"/>
      <c r="AA86" t="str">
        <f t="shared" si="6"/>
        <v/>
      </c>
      <c r="AB86" t="str">
        <f t="shared" si="7"/>
        <v/>
      </c>
      <c r="AC86" t="str">
        <f t="shared" si="8"/>
        <v/>
      </c>
      <c r="AD86" t="str">
        <f>IF(AA86="","",IF(COUNTIF($AA$2:AA86,AA86)=1,MAX($AD$1:AD85)+1,""))</f>
        <v/>
      </c>
    </row>
    <row r="87" spans="1:30" ht="19.5" customHeight="1" x14ac:dyDescent="0.2">
      <c r="A87" s="17"/>
      <c r="B87" s="15"/>
      <c r="C87" s="16">
        <v>86</v>
      </c>
      <c r="D87" s="17"/>
      <c r="E87" s="17"/>
      <c r="F87" s="13"/>
      <c r="G87" s="17"/>
      <c r="H87" s="3"/>
      <c r="I87" s="17"/>
      <c r="J87" s="17"/>
      <c r="M87" s="14"/>
      <c r="N87" s="4"/>
      <c r="AA87" t="str">
        <f t="shared" si="6"/>
        <v/>
      </c>
      <c r="AB87" t="str">
        <f t="shared" si="7"/>
        <v/>
      </c>
      <c r="AC87" t="str">
        <f t="shared" si="8"/>
        <v/>
      </c>
      <c r="AD87" t="str">
        <f>IF(AA87="","",IF(COUNTIF($AA$2:AA87,AA87)=1,MAX($AD$1:AD86)+1,""))</f>
        <v/>
      </c>
    </row>
    <row r="88" spans="1:30" ht="19.5" customHeight="1" x14ac:dyDescent="0.2">
      <c r="A88" s="10"/>
      <c r="B88" s="11"/>
      <c r="C88" s="12">
        <v>87</v>
      </c>
      <c r="D88" s="10"/>
      <c r="E88" s="10"/>
      <c r="F88" s="13"/>
      <c r="G88" s="10"/>
      <c r="H88" s="3"/>
      <c r="I88" s="10"/>
      <c r="J88" s="10"/>
      <c r="M88" s="14"/>
      <c r="N88" s="4"/>
      <c r="AA88" t="str">
        <f t="shared" si="6"/>
        <v/>
      </c>
      <c r="AB88" t="str">
        <f t="shared" si="7"/>
        <v/>
      </c>
      <c r="AC88" t="str">
        <f t="shared" si="8"/>
        <v/>
      </c>
      <c r="AD88" t="str">
        <f>IF(AA88="","",IF(COUNTIF($AA$2:AA88,AA88)=1,MAX($AD$1:AD87)+1,""))</f>
        <v/>
      </c>
    </row>
    <row r="89" spans="1:30" ht="19.5" customHeight="1" x14ac:dyDescent="0.2">
      <c r="A89" s="17"/>
      <c r="B89" s="15"/>
      <c r="C89" s="16">
        <v>88</v>
      </c>
      <c r="D89" s="17"/>
      <c r="E89" s="17"/>
      <c r="F89" s="13"/>
      <c r="G89" s="17"/>
      <c r="H89" s="3"/>
      <c r="I89" s="17"/>
      <c r="J89" s="17"/>
      <c r="M89" s="14"/>
      <c r="N89" s="4"/>
      <c r="AA89" t="str">
        <f t="shared" si="6"/>
        <v/>
      </c>
      <c r="AB89" t="str">
        <f t="shared" si="7"/>
        <v/>
      </c>
      <c r="AC89" t="str">
        <f t="shared" si="8"/>
        <v/>
      </c>
      <c r="AD89" t="str">
        <f>IF(AA89="","",IF(COUNTIF($AA$2:AA89,AA89)=1,MAX($AD$1:AD88)+1,""))</f>
        <v/>
      </c>
    </row>
    <row r="90" spans="1:30" ht="19.5" customHeight="1" x14ac:dyDescent="0.2">
      <c r="A90" s="10"/>
      <c r="B90" s="11"/>
      <c r="C90" s="12">
        <v>89</v>
      </c>
      <c r="D90" s="10"/>
      <c r="E90" s="10"/>
      <c r="F90" s="13"/>
      <c r="G90" s="10"/>
      <c r="H90" s="3"/>
      <c r="I90" s="10"/>
      <c r="J90" s="10"/>
      <c r="M90" s="14"/>
      <c r="N90" s="4"/>
      <c r="AA90" t="str">
        <f t="shared" si="6"/>
        <v/>
      </c>
      <c r="AB90" t="str">
        <f t="shared" si="7"/>
        <v/>
      </c>
      <c r="AC90" t="str">
        <f t="shared" si="8"/>
        <v/>
      </c>
      <c r="AD90" t="str">
        <f>IF(AA90="","",IF(COUNTIF($AA$2:AA90,AA90)=1,MAX($AD$1:AD89)+1,""))</f>
        <v/>
      </c>
    </row>
    <row r="91" spans="1:30" ht="19.5" customHeight="1" x14ac:dyDescent="0.2">
      <c r="A91" s="17"/>
      <c r="B91" s="15"/>
      <c r="C91" s="16">
        <v>90</v>
      </c>
      <c r="D91" s="17"/>
      <c r="E91" s="17"/>
      <c r="F91" s="13"/>
      <c r="G91" s="17"/>
      <c r="H91" s="3"/>
      <c r="I91" s="17"/>
      <c r="J91" s="17"/>
      <c r="M91" s="14"/>
      <c r="N91" s="4"/>
      <c r="AA91" t="str">
        <f t="shared" si="6"/>
        <v/>
      </c>
      <c r="AB91" t="str">
        <f t="shared" si="7"/>
        <v/>
      </c>
      <c r="AC91" t="str">
        <f t="shared" si="8"/>
        <v/>
      </c>
      <c r="AD91" t="str">
        <f>IF(AA91="","",IF(COUNTIF($AA$2:AA91,AA91)=1,MAX($AD$1:AD90)+1,""))</f>
        <v/>
      </c>
    </row>
    <row r="92" spans="1:30" ht="19.5" customHeight="1" x14ac:dyDescent="0.2">
      <c r="A92" s="10"/>
      <c r="B92" s="11"/>
      <c r="C92" s="12">
        <v>91</v>
      </c>
      <c r="D92" s="10"/>
      <c r="E92" s="10"/>
      <c r="F92" s="13"/>
      <c r="G92" s="10"/>
      <c r="H92" s="3"/>
      <c r="I92" s="10"/>
      <c r="J92" s="10"/>
      <c r="M92" s="14"/>
      <c r="N92" s="4"/>
      <c r="AA92" t="str">
        <f t="shared" si="6"/>
        <v/>
      </c>
      <c r="AB92" t="str">
        <f t="shared" si="7"/>
        <v/>
      </c>
      <c r="AC92" t="str">
        <f t="shared" si="8"/>
        <v/>
      </c>
      <c r="AD92" t="str">
        <f>IF(AA92="","",IF(COUNTIF($AA$2:AA92,AA92)=1,MAX($AD$1:AD91)+1,""))</f>
        <v/>
      </c>
    </row>
    <row r="93" spans="1:30" ht="19.5" customHeight="1" x14ac:dyDescent="0.2">
      <c r="A93" s="17"/>
      <c r="B93" s="15"/>
      <c r="C93" s="16">
        <v>92</v>
      </c>
      <c r="D93" s="17"/>
      <c r="E93" s="17"/>
      <c r="F93" s="13"/>
      <c r="G93" s="17"/>
      <c r="H93" s="3"/>
      <c r="I93" s="17"/>
      <c r="J93" s="17"/>
      <c r="M93" s="14"/>
      <c r="N93" s="4"/>
      <c r="AA93" t="str">
        <f t="shared" si="6"/>
        <v/>
      </c>
      <c r="AB93" t="str">
        <f t="shared" si="7"/>
        <v/>
      </c>
      <c r="AC93" t="str">
        <f t="shared" si="8"/>
        <v/>
      </c>
      <c r="AD93" t="str">
        <f>IF(AA93="","",IF(COUNTIF($AA$2:AA93,AA93)=1,MAX($AD$1:AD92)+1,""))</f>
        <v/>
      </c>
    </row>
    <row r="94" spans="1:30" ht="19.5" customHeight="1" x14ac:dyDescent="0.2">
      <c r="A94" s="10"/>
      <c r="B94" s="11"/>
      <c r="C94" s="12">
        <v>93</v>
      </c>
      <c r="D94" s="10"/>
      <c r="E94" s="10"/>
      <c r="F94" s="13"/>
      <c r="G94" s="10"/>
      <c r="H94" s="3"/>
      <c r="I94" s="10"/>
      <c r="J94" s="10"/>
      <c r="M94" s="14"/>
      <c r="N94" s="4"/>
      <c r="AA94" t="str">
        <f t="shared" si="6"/>
        <v/>
      </c>
      <c r="AB94" t="str">
        <f t="shared" si="7"/>
        <v/>
      </c>
      <c r="AC94" t="str">
        <f t="shared" si="8"/>
        <v/>
      </c>
      <c r="AD94" t="str">
        <f>IF(AA94="","",IF(COUNTIF($AA$2:AA94,AA94)=1,MAX($AD$1:AD93)+1,""))</f>
        <v/>
      </c>
    </row>
    <row r="95" spans="1:30" ht="19.5" customHeight="1" x14ac:dyDescent="0.2">
      <c r="A95" s="17"/>
      <c r="B95" s="15"/>
      <c r="C95" s="16">
        <v>94</v>
      </c>
      <c r="D95" s="17"/>
      <c r="E95" s="17"/>
      <c r="F95" s="13"/>
      <c r="G95" s="17"/>
      <c r="H95" s="3"/>
      <c r="I95" s="17"/>
      <c r="J95" s="17"/>
      <c r="M95" s="14"/>
      <c r="N95" s="4"/>
      <c r="AA95" t="str">
        <f t="shared" si="6"/>
        <v/>
      </c>
      <c r="AB95" t="str">
        <f t="shared" si="7"/>
        <v/>
      </c>
      <c r="AC95" t="str">
        <f t="shared" si="8"/>
        <v/>
      </c>
      <c r="AD95" t="str">
        <f>IF(AA95="","",IF(COUNTIF($AA$2:AA95,AA95)=1,MAX($AD$1:AD94)+1,""))</f>
        <v/>
      </c>
    </row>
    <row r="96" spans="1:30" ht="19.5" customHeight="1" x14ac:dyDescent="0.2">
      <c r="A96" s="10"/>
      <c r="B96" s="11"/>
      <c r="C96" s="12">
        <v>95</v>
      </c>
      <c r="D96" s="10"/>
      <c r="E96" s="10"/>
      <c r="F96" s="13"/>
      <c r="G96" s="10"/>
      <c r="H96" s="3"/>
      <c r="I96" s="10"/>
      <c r="J96" s="10"/>
      <c r="M96" s="14"/>
      <c r="N96" s="4"/>
      <c r="AA96" t="str">
        <f t="shared" si="6"/>
        <v/>
      </c>
      <c r="AB96" t="str">
        <f t="shared" si="7"/>
        <v/>
      </c>
      <c r="AC96" t="str">
        <f t="shared" si="8"/>
        <v/>
      </c>
      <c r="AD96" t="str">
        <f>IF(AA96="","",IF(COUNTIF($AA$2:AA96,AA96)=1,MAX($AD$1:AD95)+1,""))</f>
        <v/>
      </c>
    </row>
    <row r="97" spans="1:30" ht="19.5" customHeight="1" x14ac:dyDescent="0.2">
      <c r="A97" s="17"/>
      <c r="B97" s="15"/>
      <c r="C97" s="16">
        <v>96</v>
      </c>
      <c r="D97" s="17"/>
      <c r="E97" s="17"/>
      <c r="F97" s="13"/>
      <c r="G97" s="17"/>
      <c r="H97" s="3"/>
      <c r="I97" s="17"/>
      <c r="J97" s="17"/>
      <c r="M97" s="14"/>
      <c r="N97" s="4"/>
      <c r="AA97" t="str">
        <f t="shared" si="6"/>
        <v/>
      </c>
      <c r="AB97" t="str">
        <f t="shared" si="7"/>
        <v/>
      </c>
      <c r="AC97" t="str">
        <f t="shared" si="8"/>
        <v/>
      </c>
      <c r="AD97" t="str">
        <f>IF(AA97="","",IF(COUNTIF($AA$2:AA97,AA97)=1,MAX($AD$1:AD96)+1,""))</f>
        <v/>
      </c>
    </row>
    <row r="98" spans="1:30" ht="19.5" customHeight="1" x14ac:dyDescent="0.2">
      <c r="A98" s="18"/>
      <c r="B98" s="19" t="s">
        <v>75</v>
      </c>
      <c r="C98" s="19" t="s">
        <v>76</v>
      </c>
      <c r="D98" s="20"/>
      <c r="E98" s="20"/>
      <c r="F98" s="18"/>
      <c r="G98" s="18"/>
      <c r="H98" s="18"/>
      <c r="I98" s="18"/>
      <c r="J98" s="18"/>
      <c r="M98" s="14"/>
      <c r="N98" s="4"/>
      <c r="AA98" t="str">
        <f t="shared" si="6"/>
        <v/>
      </c>
      <c r="AB98" t="str">
        <f t="shared" si="7"/>
        <v/>
      </c>
      <c r="AC98" t="str">
        <f t="shared" si="8"/>
        <v/>
      </c>
      <c r="AD98" t="str">
        <f>IF(AA98="","",IF(COUNTIF($AA$2:AA98,AA98)=1,MAX($AD$1:AD97)+1,""))</f>
        <v/>
      </c>
    </row>
    <row r="99" spans="1:30" ht="19.5" customHeight="1" x14ac:dyDescent="0.2">
      <c r="A99" s="21"/>
      <c r="B99" s="22" t="s">
        <v>77</v>
      </c>
      <c r="C99" s="23">
        <v>0</v>
      </c>
      <c r="D99" s="24"/>
      <c r="E99" s="24"/>
      <c r="F99" s="13"/>
      <c r="G99" s="21"/>
      <c r="H99" s="3"/>
      <c r="I99" s="21"/>
      <c r="J99" s="21"/>
      <c r="M99" s="14"/>
      <c r="N99" s="4"/>
      <c r="AA99" t="str">
        <f t="shared" si="6"/>
        <v/>
      </c>
      <c r="AB99" t="str">
        <f t="shared" si="7"/>
        <v/>
      </c>
      <c r="AC99" t="str">
        <f t="shared" si="8"/>
        <v/>
      </c>
      <c r="AD99" t="str">
        <f>IF(AA99="","",IF(COUNTIF($AA$2:AA99,AA99)=1,MAX($AD$1:AD98)+1,""))</f>
        <v/>
      </c>
    </row>
    <row r="100" spans="1:30" ht="19.5" customHeight="1" x14ac:dyDescent="0.2">
      <c r="A100" s="21"/>
      <c r="B100" s="22" t="s">
        <v>78</v>
      </c>
      <c r="C100" s="23">
        <v>0</v>
      </c>
      <c r="D100" s="24"/>
      <c r="E100" s="24"/>
      <c r="F100" s="13"/>
      <c r="G100" s="21"/>
      <c r="H100" s="3"/>
      <c r="I100" s="21"/>
      <c r="J100" s="21"/>
      <c r="M100" s="14"/>
      <c r="N100" s="4"/>
      <c r="AA100" t="str">
        <f t="shared" si="6"/>
        <v/>
      </c>
      <c r="AB100" t="str">
        <f t="shared" si="7"/>
        <v/>
      </c>
      <c r="AC100" t="str">
        <f t="shared" si="8"/>
        <v/>
      </c>
      <c r="AD100" t="str">
        <f>IF(AA100="","",IF(COUNTIF($AA$2:AA100,AA100)=1,MAX($AD$1:AD99)+1,""))</f>
        <v/>
      </c>
    </row>
    <row r="101" spans="1:30" ht="19.5" customHeight="1" x14ac:dyDescent="0.2">
      <c r="A101" s="21"/>
      <c r="B101" s="22" t="s">
        <v>79</v>
      </c>
      <c r="C101" s="23">
        <v>0</v>
      </c>
      <c r="D101" s="24"/>
      <c r="E101" s="24"/>
      <c r="F101" s="13"/>
      <c r="G101" s="21"/>
      <c r="H101" s="3"/>
      <c r="I101" s="21"/>
      <c r="J101" s="21"/>
      <c r="M101" s="14"/>
      <c r="N101" s="4"/>
      <c r="AA101" t="str">
        <f t="shared" si="6"/>
        <v/>
      </c>
      <c r="AB101" t="str">
        <f t="shared" si="7"/>
        <v/>
      </c>
      <c r="AC101" t="str">
        <f t="shared" si="8"/>
        <v/>
      </c>
      <c r="AD101" t="str">
        <f>IF(AA101="","",IF(COUNTIF($AA$2:AA101,AA101)=1,MAX($AD$1:AD100)+1,""))</f>
        <v/>
      </c>
    </row>
  </sheetData>
  <conditionalFormatting sqref="B2:C98 C99:C101">
    <cfRule type="beginsWith" dxfId="15" priority="3" operator="beginsWith" text="P">
      <formula>LEFT(B2,LEN("P"))="P"</formula>
    </cfRule>
    <cfRule type="beginsWith" dxfId="14" priority="4" operator="beginsWith" text="O">
      <formula>LEFT(B2,LEN("O"))="O"</formula>
    </cfRule>
    <cfRule type="beginsWith" dxfId="13" priority="5" operator="beginsWith" text="Y">
      <formula>LEFT(B2,LEN("Y"))="Y"</formula>
    </cfRule>
    <cfRule type="beginsWith" dxfId="12" priority="6" operator="beginsWith" text="B">
      <formula>LEFT(B2,LEN("B"))="B"</formula>
    </cfRule>
    <cfRule type="beginsWith" dxfId="11" priority="7" operator="beginsWith" text="R">
      <formula>LEFT(B2,LEN("R"))="R"</formula>
    </cfRule>
    <cfRule type="beginsWith" dxfId="10" priority="8" operator="beginsWith" text="G">
      <formula>LEFT(B2,LEN("G"))="G"</formula>
    </cfRule>
    <cfRule type="expression" dxfId="9" priority="9">
      <formula>LEFT(B2,LEN("R"))="R"</formula>
    </cfRule>
    <cfRule type="expression" dxfId="8" priority="10">
      <formula>LEFT(B2,LEN("G"))="G"</formula>
    </cfRule>
    <cfRule type="expression" dxfId="7" priority="11">
      <formula>LEFT(B2,LEN("B"))="B"</formula>
    </cfRule>
    <cfRule type="expression" dxfId="6" priority="12">
      <formula>LEFT(B2,LEN("Y"))="Y"</formula>
    </cfRule>
    <cfRule type="expression" dxfId="5" priority="13">
      <formula>LEFT(B2,LEN("O"))="O"</formula>
    </cfRule>
    <cfRule type="expression" dxfId="4" priority="14">
      <formula>LEFT(B2,LEN("P"))="P"</formula>
    </cfRule>
  </conditionalFormatting>
  <conditionalFormatting sqref="L2:L101">
    <cfRule type="expression" dxfId="3" priority="15">
      <formula>LEN(TRIM(L2))&gt;0</formula>
    </cfRule>
  </conditionalFormatting>
  <conditionalFormatting sqref="A2:M98 A99:A101 C99:M101">
    <cfRule type="expression" dxfId="2" priority="17">
      <formula>IF($J2="",0,IF(#REF!="",0,IF(ISNUMBER(SEARCH(#REF!,$J2)),0,1)))</formula>
    </cfRule>
  </conditionalFormatting>
  <conditionalFormatting sqref="E16:F16">
    <cfRule type="expression" dxfId="1" priority="18">
      <formula>IF($J15="",0,IF(#REF!="",0,IF($J15=#REF!,0,1)))</formula>
    </cfRule>
  </conditionalFormatting>
  <pageMargins left="0.25" right="0.25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7F87"/>
    <pageSetUpPr fitToPage="1"/>
  </sheetPr>
  <dimension ref="A1:E40"/>
  <sheetViews>
    <sheetView showGridLines="0" zoomScaleNormal="100" workbookViewId="0">
      <pane ySplit="3" topLeftCell="A4" activePane="bottomLeft" state="frozen"/>
      <selection pane="bottomLeft" activeCell="A6" sqref="A6"/>
    </sheetView>
  </sheetViews>
  <sheetFormatPr baseColWidth="10" defaultColWidth="2" defaultRowHeight="15" customHeight="1" x14ac:dyDescent="0.2"/>
  <cols>
    <col min="1" max="1" width="30" style="25" customWidth="1"/>
    <col min="2" max="2" width="12" style="25" customWidth="1"/>
    <col min="3" max="3" width="2" style="25"/>
    <col min="4" max="4" width="18" customWidth="1"/>
    <col min="5" max="5" width="10" customWidth="1"/>
    <col min="6" max="16384" width="2" style="25"/>
  </cols>
  <sheetData>
    <row r="1" spans="1:5" ht="33.75" customHeight="1" x14ac:dyDescent="0.2">
      <c r="A1" s="55" t="s">
        <v>170</v>
      </c>
      <c r="B1" s="55"/>
      <c r="C1" s="55"/>
      <c r="D1" s="54" t="s">
        <v>80</v>
      </c>
      <c r="E1" s="54"/>
    </row>
    <row r="2" spans="1:5" ht="21.75" customHeight="1" x14ac:dyDescent="0.2">
      <c r="A2" s="5" t="s">
        <v>81</v>
      </c>
      <c r="B2" s="26" t="s">
        <v>82</v>
      </c>
      <c r="D2" s="27" t="s">
        <v>77</v>
      </c>
      <c r="E2" s="28">
        <f>COUNTIF('Channel List'!$G$2:$G$101,"Tall*")+'Channel List'!$C$99</f>
        <v>1</v>
      </c>
    </row>
    <row r="3" spans="1:5" ht="21.75" customHeight="1" x14ac:dyDescent="0.2">
      <c r="A3" s="29" t="s">
        <v>83</v>
      </c>
      <c r="B3" s="29" t="s">
        <v>84</v>
      </c>
      <c r="D3" s="27" t="s">
        <v>78</v>
      </c>
      <c r="E3" s="28">
        <f>COUNTIF('Channel List'!$G$2:$G$101,"Short*")+'Channel List'!$C$100</f>
        <v>0</v>
      </c>
    </row>
    <row r="4" spans="1:5" ht="18.75" customHeight="1" x14ac:dyDescent="0.2">
      <c r="A4" s="30" t="str">
        <f>IF(COUNTIF('Channel List'!$AD$2:$AD$101,ROW(A1))=0,"",INDEX('Channel List'!$AA$2:$AA$101,MATCH(ROW(A1),'Channel List'!$AD$2:$AD$101,0)))</f>
        <v>sm58</v>
      </c>
      <c r="B4" s="31">
        <f>IF(A4="","",COUNTIF('Channel List'!$AA$2:$AA$101,A4))</f>
        <v>1</v>
      </c>
      <c r="D4" s="27" t="s">
        <v>79</v>
      </c>
      <c r="E4" s="28">
        <f>COUNTIF('Channel List'!$G$2:$G$101,"Round*")+'Channel List'!$C$101</f>
        <v>1</v>
      </c>
    </row>
    <row r="5" spans="1:5" ht="18.75" customHeight="1" x14ac:dyDescent="0.2">
      <c r="A5" s="32" t="str">
        <f>IF(COUNTIF('Channel List'!$AD$2:$AD$101,ROW(A2))=0,"",INDEX('Channel List'!$AA$2:$AA$101,MATCH(ROW(A2),'Channel List'!$AD$2:$AD$101,0)))</f>
        <v>b57</v>
      </c>
      <c r="B5" s="33">
        <f>IF(A5="","",COUNTIF('Channel List'!$AA$2:$AA$101,A5))</f>
        <v>1</v>
      </c>
    </row>
    <row r="6" spans="1:5" ht="18.75" customHeight="1" x14ac:dyDescent="0.2">
      <c r="A6" s="30" t="str">
        <f>IF(COUNTIF('Channel List'!$AD$2:$AD$101,ROW(A3))=0,"",INDEX('Channel List'!$AA$2:$AA$101,MATCH(ROW(A3),'Channel List'!$AD$2:$AD$101,0)))</f>
        <v/>
      </c>
      <c r="B6" s="31" t="str">
        <f>IF(A6="","",COUNTIF('Channel List'!$AA$2:$AA$101,A6))</f>
        <v/>
      </c>
    </row>
    <row r="7" spans="1:5" ht="18.75" customHeight="1" x14ac:dyDescent="0.2">
      <c r="A7" s="32" t="str">
        <f>IF(COUNTIF('Channel List'!$AD$2:$AD$101,ROW(A4))=0,"",INDEX('Channel List'!$AA$2:$AA$101,MATCH(ROW(A4),'Channel List'!$AD$2:$AD$101,0)))</f>
        <v/>
      </c>
      <c r="B7" s="33" t="str">
        <f>IF(A7="","",COUNTIF('Channel List'!$AA$2:$AA$101,A7))</f>
        <v/>
      </c>
    </row>
    <row r="8" spans="1:5" ht="18.75" customHeight="1" x14ac:dyDescent="0.2">
      <c r="A8" s="30" t="str">
        <f>IF(COUNTIF('Channel List'!$AD$2:$AD$101,ROW(A5))=0,"",INDEX('Channel List'!$AA$2:$AA$101,MATCH(ROW(A5),'Channel List'!$AD$2:$AD$101,0)))</f>
        <v/>
      </c>
      <c r="B8" s="31" t="str">
        <f>IF(A8="","",COUNTIF('Channel List'!$AA$2:$AA$101,A8))</f>
        <v/>
      </c>
    </row>
    <row r="9" spans="1:5" ht="18.75" customHeight="1" x14ac:dyDescent="0.2">
      <c r="A9" s="32" t="str">
        <f>IF(COUNTIF('Channel List'!$AD$2:$AD$101,ROW(A6))=0,"",INDEX('Channel List'!$AA$2:$AA$101,MATCH(ROW(A6),'Channel List'!$AD$2:$AD$101,0)))</f>
        <v/>
      </c>
      <c r="B9" s="33" t="str">
        <f>IF(A9="","",COUNTIF('Channel List'!$AA$2:$AA$101,A9))</f>
        <v/>
      </c>
    </row>
    <row r="10" spans="1:5" ht="18.75" customHeight="1" x14ac:dyDescent="0.2">
      <c r="A10" s="30" t="str">
        <f>IF(COUNTIF('Channel List'!$AD$2:$AD$101,ROW(A7))=0,"",INDEX('Channel List'!$AA$2:$AA$101,MATCH(ROW(A7),'Channel List'!$AD$2:$AD$101,0)))</f>
        <v/>
      </c>
      <c r="B10" s="31" t="str">
        <f>IF(A10="","",COUNTIF('Channel List'!$AA$2:$AA$101,A10))</f>
        <v/>
      </c>
    </row>
    <row r="11" spans="1:5" ht="18.75" customHeight="1" x14ac:dyDescent="0.2">
      <c r="A11" s="32" t="str">
        <f>IF(COUNTIF('Channel List'!$AD$2:$AD$101,ROW(A8))=0,"",INDEX('Channel List'!$AA$2:$AA$101,MATCH(ROW(A8),'Channel List'!$AD$2:$AD$101,0)))</f>
        <v/>
      </c>
      <c r="B11" s="33" t="str">
        <f>IF(A11="","",COUNTIF('Channel List'!$AA$2:$AA$101,A11))</f>
        <v/>
      </c>
    </row>
    <row r="12" spans="1:5" ht="18.75" customHeight="1" x14ac:dyDescent="0.2">
      <c r="A12" s="30" t="str">
        <f>IF(COUNTIF('Channel List'!$AD$2:$AD$101,ROW(A9))=0,"",INDEX('Channel List'!$AA$2:$AA$101,MATCH(ROW(A9),'Channel List'!$AD$2:$AD$101,0)))</f>
        <v/>
      </c>
      <c r="B12" s="31" t="str">
        <f>IF(A12="","",COUNTIF('Channel List'!$AA$2:$AA$101,A12))</f>
        <v/>
      </c>
    </row>
    <row r="13" spans="1:5" ht="18.75" customHeight="1" x14ac:dyDescent="0.2">
      <c r="A13" s="32" t="str">
        <f>IF(COUNTIF('Channel List'!$AD$2:$AD$101,ROW(A10))=0,"",INDEX('Channel List'!$AA$2:$AA$101,MATCH(ROW(A10),'Channel List'!$AD$2:$AD$101,0)))</f>
        <v/>
      </c>
      <c r="B13" s="33" t="str">
        <f>IF(A13="","",COUNTIF('Channel List'!$AA$2:$AA$101,A13))</f>
        <v/>
      </c>
    </row>
    <row r="14" spans="1:5" ht="18.75" customHeight="1" x14ac:dyDescent="0.2">
      <c r="A14" s="30" t="str">
        <f>IF(COUNTIF('Channel List'!$AD$2:$AD$101,ROW(A11))=0,"",INDEX('Channel List'!$AA$2:$AA$101,MATCH(ROW(A11),'Channel List'!$AD$2:$AD$101,0)))</f>
        <v/>
      </c>
      <c r="B14" s="31" t="str">
        <f>IF(A14="","",COUNTIF('Channel List'!$AA$2:$AA$101,A14))</f>
        <v/>
      </c>
    </row>
    <row r="15" spans="1:5" ht="18.75" customHeight="1" x14ac:dyDescent="0.2">
      <c r="A15" s="32" t="str">
        <f>IF(COUNTIF('Channel List'!$AD$2:$AD$101,ROW(A12))=0,"",INDEX('Channel List'!$AA$2:$AA$101,MATCH(ROW(A12),'Channel List'!$AD$2:$AD$101,0)))</f>
        <v/>
      </c>
      <c r="B15" s="33" t="str">
        <f>IF(A15="","",COUNTIF('Channel List'!$AA$2:$AA$101,A15))</f>
        <v/>
      </c>
    </row>
    <row r="16" spans="1:5" ht="18.75" customHeight="1" x14ac:dyDescent="0.2">
      <c r="A16" s="30" t="str">
        <f>IF(COUNTIF('Channel List'!$AD$2:$AD$101,ROW(A13))=0,"",INDEX('Channel List'!$AA$2:$AA$101,MATCH(ROW(A13),'Channel List'!$AD$2:$AD$101,0)))</f>
        <v/>
      </c>
      <c r="B16" s="31" t="str">
        <f>IF(A16="","",COUNTIF('Channel List'!$AA$2:$AA$101,A16))</f>
        <v/>
      </c>
    </row>
    <row r="17" spans="1:2" ht="18.75" customHeight="1" x14ac:dyDescent="0.2">
      <c r="A17" s="32" t="str">
        <f>IF(COUNTIF('Channel List'!$AD$2:$AD$101,ROW(A14))=0,"",INDEX('Channel List'!$AA$2:$AA$101,MATCH(ROW(A14),'Channel List'!$AD$2:$AD$101,0)))</f>
        <v/>
      </c>
      <c r="B17" s="33" t="str">
        <f>IF(A17="","",COUNTIF('Channel List'!$AA$2:$AA$101,A17))</f>
        <v/>
      </c>
    </row>
    <row r="18" spans="1:2" ht="18.75" customHeight="1" x14ac:dyDescent="0.2">
      <c r="A18" s="30" t="str">
        <f>IF(COUNTIF('Channel List'!$AD$2:$AD$101,ROW(A15))=0,"",INDEX('Channel List'!$AA$2:$AA$101,MATCH(ROW(A15),'Channel List'!$AD$2:$AD$101,0)))</f>
        <v/>
      </c>
      <c r="B18" s="31" t="str">
        <f>IF(A18="","",COUNTIF('Channel List'!$AA$2:$AA$101,A18))</f>
        <v/>
      </c>
    </row>
    <row r="19" spans="1:2" ht="18.75" customHeight="1" x14ac:dyDescent="0.2">
      <c r="A19" s="32" t="str">
        <f>IF(COUNTIF('Channel List'!$AD$2:$AD$101,ROW(A16))=0,"",INDEX('Channel List'!$AA$2:$AA$101,MATCH(ROW(A16),'Channel List'!$AD$2:$AD$101,0)))</f>
        <v/>
      </c>
      <c r="B19" s="33" t="str">
        <f>IF(A19="","",COUNTIF('Channel List'!$AA$2:$AA$101,A19))</f>
        <v/>
      </c>
    </row>
    <row r="20" spans="1:2" ht="18.75" customHeight="1" x14ac:dyDescent="0.2">
      <c r="A20" s="30" t="str">
        <f>IF(COUNTIF('Channel List'!$AD$2:$AD$101,ROW(A17))=0,"",INDEX('Channel List'!$AA$2:$AA$101,MATCH(ROW(A17),'Channel List'!$AD$2:$AD$101,0)))</f>
        <v/>
      </c>
      <c r="B20" s="31" t="str">
        <f>IF(A20="","",COUNTIF('Channel List'!$AA$2:$AA$101,A20))</f>
        <v/>
      </c>
    </row>
    <row r="21" spans="1:2" ht="18.75" customHeight="1" x14ac:dyDescent="0.2">
      <c r="A21" s="32" t="str">
        <f>IF(COUNTIF('Channel List'!$AD$2:$AD$101,ROW(A18))=0,"",INDEX('Channel List'!$AA$2:$AA$101,MATCH(ROW(A18),'Channel List'!$AD$2:$AD$101,0)))</f>
        <v/>
      </c>
      <c r="B21" s="33" t="str">
        <f>IF(A21="","",COUNTIF('Channel List'!$AA$2:$AA$101,A21))</f>
        <v/>
      </c>
    </row>
    <row r="22" spans="1:2" ht="18.75" customHeight="1" x14ac:dyDescent="0.2">
      <c r="A22" s="30" t="str">
        <f>IF(COUNTIF('Channel List'!$AD$2:$AD$101,ROW(A19))=0,"",INDEX('Channel List'!$AA$2:$AA$101,MATCH(ROW(A19),'Channel List'!$AD$2:$AD$101,0)))</f>
        <v/>
      </c>
      <c r="B22" s="31" t="str">
        <f>IF(A22="","",COUNTIF('Channel List'!$AA$2:$AA$101,A22))</f>
        <v/>
      </c>
    </row>
    <row r="23" spans="1:2" ht="18.75" customHeight="1" x14ac:dyDescent="0.2">
      <c r="A23" s="32" t="str">
        <f>IF(COUNTIF('Channel List'!$AD$2:$AD$101,ROW(A20))=0,"",INDEX('Channel List'!$AA$2:$AA$101,MATCH(ROW(A20),'Channel List'!$AD$2:$AD$101,0)))</f>
        <v/>
      </c>
      <c r="B23" s="33" t="str">
        <f>IF(A23="","",COUNTIF('Channel List'!$AA$2:$AA$101,A23))</f>
        <v/>
      </c>
    </row>
    <row r="24" spans="1:2" ht="18.75" customHeight="1" x14ac:dyDescent="0.2">
      <c r="A24" s="30" t="str">
        <f>IF(COUNTIF('Channel List'!$AD$2:$AD$101,ROW(A21))=0,"",INDEX('Channel List'!$AA$2:$AA$101,MATCH(ROW(A21),'Channel List'!$AD$2:$AD$101,0)))</f>
        <v/>
      </c>
      <c r="B24" s="31" t="str">
        <f>IF(A24="","",COUNTIF('Channel List'!$AA$2:$AA$101,A24))</f>
        <v/>
      </c>
    </row>
    <row r="25" spans="1:2" ht="18.75" customHeight="1" x14ac:dyDescent="0.2">
      <c r="A25" s="32" t="str">
        <f>IF(COUNTIF('Channel List'!$AD$2:$AD$101,ROW(A22))=0,"",INDEX('Channel List'!$AA$2:$AA$101,MATCH(ROW(A22),'Channel List'!$AD$2:$AD$101,0)))</f>
        <v/>
      </c>
      <c r="B25" s="33" t="str">
        <f>IF(A25="","",COUNTIF('Channel List'!$AA$2:$AA$101,A25))</f>
        <v/>
      </c>
    </row>
    <row r="26" spans="1:2" ht="18.75" customHeight="1" x14ac:dyDescent="0.2">
      <c r="A26" s="30" t="str">
        <f>IF(COUNTIF('Channel List'!$AD$2:$AD$101,ROW(A23))=0,"",INDEX('Channel List'!$AA$2:$AA$101,MATCH(ROW(A23),'Channel List'!$AD$2:$AD$101,0)))</f>
        <v/>
      </c>
      <c r="B26" s="31" t="str">
        <f>IF(A26="","",COUNTIF('Channel List'!$AA$2:$AA$101,A26))</f>
        <v/>
      </c>
    </row>
    <row r="27" spans="1:2" ht="18.75" customHeight="1" x14ac:dyDescent="0.2">
      <c r="A27" s="32" t="str">
        <f>IF(COUNTIF('Channel List'!$AD$2:$AD$101,ROW(A24))=0,"",INDEX('Channel List'!$AA$2:$AA$101,MATCH(ROW(A24),'Channel List'!$AD$2:$AD$101,0)))</f>
        <v/>
      </c>
      <c r="B27" s="33" t="str">
        <f>IF(A27="","",COUNTIF('Channel List'!$AA$2:$AA$101,A27))</f>
        <v/>
      </c>
    </row>
    <row r="28" spans="1:2" ht="18.75" customHeight="1" x14ac:dyDescent="0.2">
      <c r="A28" s="30" t="str">
        <f>IF(COUNTIF('Channel List'!$AD$2:$AD$101,ROW(A25))=0,"",INDEX('Channel List'!$AA$2:$AA$101,MATCH(ROW(A25),'Channel List'!$AD$2:$AD$101,0)))</f>
        <v/>
      </c>
      <c r="B28" s="31" t="str">
        <f>IF(A28="","",COUNTIF('Channel List'!$AA$2:$AA$101,A28))</f>
        <v/>
      </c>
    </row>
    <row r="29" spans="1:2" ht="18.75" customHeight="1" x14ac:dyDescent="0.2">
      <c r="A29" s="32" t="str">
        <f>IF(COUNTIF('Channel List'!$AD$2:$AD$101,ROW(A26))=0,"",INDEX('Channel List'!$AA$2:$AA$101,MATCH(ROW(A26),'Channel List'!$AD$2:$AD$101,0)))</f>
        <v/>
      </c>
      <c r="B29" s="33" t="str">
        <f>IF(A29="","",COUNTIF('Channel List'!$AA$2:$AA$101,A29))</f>
        <v/>
      </c>
    </row>
    <row r="30" spans="1:2" ht="18.75" customHeight="1" x14ac:dyDescent="0.2">
      <c r="A30" s="30" t="str">
        <f>IF(COUNTIF('Channel List'!$AD$2:$AD$101,ROW(A27))=0,"",INDEX('Channel List'!$AA$2:$AA$101,MATCH(ROW(A27),'Channel List'!$AD$2:$AD$101,0)))</f>
        <v/>
      </c>
      <c r="B30" s="31" t="str">
        <f>IF(A30="","",COUNTIF('Channel List'!$AA$2:$AA$101,A30))</f>
        <v/>
      </c>
    </row>
    <row r="31" spans="1:2" ht="18.75" customHeight="1" x14ac:dyDescent="0.2">
      <c r="A31" s="32" t="str">
        <f>IF(COUNTIF('Channel List'!$AD$2:$AD$101,ROW(A28))=0,"",INDEX('Channel List'!$AA$2:$AA$101,MATCH(ROW(A28),'Channel List'!$AD$2:$AD$101,0)))</f>
        <v/>
      </c>
      <c r="B31" s="33" t="str">
        <f>IF(A31="","",COUNTIF('Channel List'!$AA$2:$AA$101,A31))</f>
        <v/>
      </c>
    </row>
    <row r="32" spans="1:2" ht="18.75" customHeight="1" x14ac:dyDescent="0.2">
      <c r="A32" s="30" t="str">
        <f>IF(COUNTIF('Channel List'!$AD$2:$AD$101,ROW(A29))=0,"",INDEX('Channel List'!$AA$2:$AA$101,MATCH(ROW(A29),'Channel List'!$AD$2:$AD$101,0)))</f>
        <v/>
      </c>
      <c r="B32" s="31" t="str">
        <f>IF(A32="","",COUNTIF('Channel List'!$AA$2:$AA$101,A32))</f>
        <v/>
      </c>
    </row>
    <row r="33" spans="1:2" ht="18.75" customHeight="1" x14ac:dyDescent="0.2">
      <c r="A33" s="32" t="str">
        <f>IF(COUNTIF('Channel List'!$AD$2:$AD$101,ROW(A30))=0,"",INDEX('Channel List'!$AA$2:$AA$101,MATCH(ROW(A30),'Channel List'!$AD$2:$AD$101,0)))</f>
        <v/>
      </c>
      <c r="B33" s="33" t="str">
        <f>IF(A33="","",COUNTIF('Channel List'!$AA$2:$AA$101,A33))</f>
        <v/>
      </c>
    </row>
    <row r="34" spans="1:2" ht="18.75" customHeight="1" x14ac:dyDescent="0.2">
      <c r="A34" s="30" t="str">
        <f>IF(COUNTIF('Channel List'!$AD$2:$AD$101,ROW(A31))=0,"",INDEX('Channel List'!$AA$2:$AA$101,MATCH(ROW(A31),'Channel List'!$AD$2:$AD$101,0)))</f>
        <v/>
      </c>
      <c r="B34" s="31" t="str">
        <f>IF(A34="","",COUNTIF('Channel List'!$AA$2:$AA$101,A34))</f>
        <v/>
      </c>
    </row>
    <row r="35" spans="1:2" ht="18.75" customHeight="1" x14ac:dyDescent="0.2">
      <c r="A35" s="32" t="str">
        <f>IF(COUNTIF('Channel List'!$AD$2:$AD$101,ROW(A32))=0,"",INDEX('Channel List'!$AA$2:$AA$101,MATCH(ROW(A32),'Channel List'!$AD$2:$AD$101,0)))</f>
        <v/>
      </c>
      <c r="B35" s="33" t="str">
        <f>IF(A35="","",COUNTIF('Channel List'!$AA$2:$AA$101,A35))</f>
        <v/>
      </c>
    </row>
    <row r="36" spans="1:2" ht="18.75" customHeight="1" x14ac:dyDescent="0.2">
      <c r="A36" s="30" t="str">
        <f>IF(COUNTIF('Channel List'!$AD$2:$AD$101,ROW(A33))=0,"",INDEX('Channel List'!$AA$2:$AA$101,MATCH(ROW(A33),'Channel List'!$AD$2:$AD$101,0)))</f>
        <v/>
      </c>
      <c r="B36" s="31" t="str">
        <f>IF(A36="","",COUNTIF('Channel List'!$AA$2:$AA$101,A36))</f>
        <v/>
      </c>
    </row>
    <row r="37" spans="1:2" ht="18.75" customHeight="1" x14ac:dyDescent="0.2">
      <c r="A37" s="32" t="str">
        <f>IF(COUNTIF('Channel List'!$AD$2:$AD$101,ROW(A34))=0,"",INDEX('Channel List'!$AA$2:$AA$101,MATCH(ROW(A34),'Channel List'!$AD$2:$AD$101,0)))</f>
        <v/>
      </c>
      <c r="B37" s="33" t="str">
        <f>IF(A37="","",COUNTIF('Channel List'!$AA$2:$AA$101,A37))</f>
        <v/>
      </c>
    </row>
    <row r="38" spans="1:2" ht="18.75" customHeight="1" x14ac:dyDescent="0.2">
      <c r="A38" s="30" t="str">
        <f>IF(COUNTIF('Channel List'!$AD$2:$AD$101,ROW(A35))=0,"",INDEX('Channel List'!$AA$2:$AA$101,MATCH(ROW(A35),'Channel List'!$AD$2:$AD$101,0)))</f>
        <v/>
      </c>
      <c r="B38" s="31" t="str">
        <f>IF(A38="","",COUNTIF('Channel List'!$AA$2:$AA$101,A38))</f>
        <v/>
      </c>
    </row>
    <row r="39" spans="1:2" ht="18.75" customHeight="1" x14ac:dyDescent="0.2">
      <c r="A39" s="32" t="str">
        <f>IF(COUNTIF('Channel List'!$AD$2:$AD$101,ROW(A36))=0,"",INDEX('Channel List'!$AA$2:$AA$101,MATCH(ROW(A36),'Channel List'!$AD$2:$AD$101,0)))</f>
        <v/>
      </c>
      <c r="B39" s="33" t="str">
        <f>IF(A39="","",COUNTIF('Channel List'!$AA$2:$AA$101,A39))</f>
        <v/>
      </c>
    </row>
    <row r="40" spans="1:2" ht="21.75" customHeight="1" x14ac:dyDescent="0.2">
      <c r="A40" s="34" t="s">
        <v>85</v>
      </c>
      <c r="B40" s="34">
        <f>SUM(B4:B39)</f>
        <v>2</v>
      </c>
    </row>
  </sheetData>
  <mergeCells count="2">
    <mergeCell ref="A1:C1"/>
    <mergeCell ref="D1:E1"/>
  </mergeCells>
  <pageMargins left="0.25" right="0.25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5E9B8"/>
    <pageSetUpPr fitToPage="1"/>
  </sheetPr>
  <dimension ref="A1:E46"/>
  <sheetViews>
    <sheetView showGridLines="0" tabSelected="1" zoomScale="166" zoomScaleNormal="166" workbookViewId="0">
      <pane ySplit="3" topLeftCell="A4" activePane="bottomLeft" state="frozen"/>
      <selection pane="bottomLeft" activeCell="B9" sqref="B9"/>
    </sheetView>
  </sheetViews>
  <sheetFormatPr baseColWidth="10" defaultColWidth="11.5" defaultRowHeight="15" customHeight="1" x14ac:dyDescent="0.2"/>
  <cols>
    <col min="1" max="1" width="16" customWidth="1"/>
    <col min="2" max="2" width="22" customWidth="1"/>
    <col min="3" max="3" width="4" customWidth="1"/>
    <col min="4" max="4" width="16" customWidth="1"/>
    <col min="5" max="5" width="22" customWidth="1"/>
    <col min="6" max="6" width="2.83203125" customWidth="1"/>
    <col min="7" max="7" width="12.33203125" customWidth="1"/>
    <col min="8" max="8" width="26.83203125" customWidth="1"/>
  </cols>
  <sheetData>
    <row r="1" spans="1:5" ht="30" customHeight="1" x14ac:dyDescent="0.2">
      <c r="A1" s="2" t="s">
        <v>175</v>
      </c>
      <c r="B1" s="2"/>
      <c r="C1" s="2"/>
      <c r="D1" s="2"/>
      <c r="E1" s="2"/>
    </row>
    <row r="2" spans="1:5" ht="19.5" customHeight="1" x14ac:dyDescent="0.2">
      <c r="A2" s="1" t="s">
        <v>86</v>
      </c>
      <c r="B2" s="1"/>
      <c r="C2" s="1"/>
      <c r="D2" s="1"/>
      <c r="E2" s="1"/>
    </row>
    <row r="3" spans="1:5" ht="15.75" customHeight="1" x14ac:dyDescent="0.2">
      <c r="A3" s="35"/>
    </row>
    <row r="4" spans="1:5" ht="24" customHeight="1" x14ac:dyDescent="0.2">
      <c r="A4" s="36" t="s">
        <v>87</v>
      </c>
      <c r="B4" s="36" t="s">
        <v>88</v>
      </c>
      <c r="D4" s="37" t="s">
        <v>89</v>
      </c>
      <c r="E4" s="37" t="s">
        <v>88</v>
      </c>
    </row>
    <row r="5" spans="1:5" ht="15" customHeight="1" x14ac:dyDescent="0.2">
      <c r="A5" s="38" t="s">
        <v>12</v>
      </c>
      <c r="B5" s="30" t="str">
        <f>IF(COUNTIF('Channel List'!$B$2:$B$101,A5)=0,"",INDEX('Channel List'!$AC$2:$AC$101,MATCH(A5,'Channel List'!$B$2:$B$101,0)))</f>
        <v xml:space="preserve">Drum or instrument </v>
      </c>
      <c r="D5" s="39" t="s">
        <v>90</v>
      </c>
      <c r="E5" s="30" t="str">
        <f>IF(COUNTIF('Channel List'!$B$2:$B$101,D5)=0,"",INDEX('Channel List'!$AC$2:$AC$101,MATCH(D5,'Channel List'!$B$2:$B$101,0)))</f>
        <v/>
      </c>
    </row>
    <row r="6" spans="1:5" ht="15" customHeight="1" x14ac:dyDescent="0.2">
      <c r="A6" s="38" t="s">
        <v>91</v>
      </c>
      <c r="B6" s="40" t="str">
        <f>IF(COUNTIF('Channel List'!$B$2:$B$101,A6)=0,"",INDEX('Channel List'!$AC$2:$AC$101,MATCH(A6,'Channel List'!$B$2:$B$101,0)))</f>
        <v>test</v>
      </c>
      <c r="D6" s="39" t="s">
        <v>92</v>
      </c>
      <c r="E6" s="40" t="str">
        <f>IF(COUNTIF('Channel List'!$B$2:$B$101,D6)=0,"",INDEX('Channel List'!$AC$2:$AC$101,MATCH(D6,'Channel List'!$B$2:$B$101,0)))</f>
        <v/>
      </c>
    </row>
    <row r="7" spans="1:5" ht="15" customHeight="1" x14ac:dyDescent="0.2">
      <c r="A7" s="38" t="s">
        <v>93</v>
      </c>
      <c r="B7" s="30" t="str">
        <f>IF(COUNTIF('Channel List'!$B$2:$B$101,A7)=0,"",INDEX('Channel List'!$AC$2:$AC$101,MATCH(A7,'Channel List'!$B$2:$B$101,0)))</f>
        <v/>
      </c>
      <c r="D7" s="39" t="s">
        <v>94</v>
      </c>
      <c r="E7" s="30" t="str">
        <f>IF(COUNTIF('Channel List'!$B$2:$B$101,D7)=0,"",INDEX('Channel List'!$AC$2:$AC$101,MATCH(D7,'Channel List'!$B$2:$B$101,0)))</f>
        <v/>
      </c>
    </row>
    <row r="8" spans="1:5" ht="15" customHeight="1" x14ac:dyDescent="0.2">
      <c r="A8" s="38" t="s">
        <v>95</v>
      </c>
      <c r="B8" s="40" t="str">
        <f>IF(COUNTIF('Channel List'!$B$2:$B$101,A8)=0,"",INDEX('Channel List'!$AC$2:$AC$101,MATCH(A8,'Channel List'!$B$2:$B$101,0)))</f>
        <v/>
      </c>
      <c r="D8" s="39" t="s">
        <v>96</v>
      </c>
      <c r="E8" s="40" t="str">
        <f>IF(COUNTIF('Channel List'!$B$2:$B$101,D8)=0,"",INDEX('Channel List'!$AC$2:$AC$101,MATCH(D8,'Channel List'!$B$2:$B$101,0)))</f>
        <v/>
      </c>
    </row>
    <row r="9" spans="1:5" ht="15" customHeight="1" x14ac:dyDescent="0.2">
      <c r="A9" s="38" t="s">
        <v>97</v>
      </c>
      <c r="B9" s="30" t="str">
        <f>IF(COUNTIF('Channel List'!$B$2:$B$101,A9)=0,"",INDEX('Channel List'!$AC$2:$AC$101,MATCH(A9,'Channel List'!$B$2:$B$101,0)))</f>
        <v/>
      </c>
      <c r="D9" s="39" t="s">
        <v>98</v>
      </c>
      <c r="E9" s="30" t="str">
        <f>IF(COUNTIF('Channel List'!$B$2:$B$101,D9)=0,"",INDEX('Channel List'!$AC$2:$AC$101,MATCH(D9,'Channel List'!$B$2:$B$101,0)))</f>
        <v/>
      </c>
    </row>
    <row r="10" spans="1:5" ht="15" customHeight="1" x14ac:dyDescent="0.2">
      <c r="A10" s="38" t="s">
        <v>99</v>
      </c>
      <c r="B10" s="40" t="str">
        <f>IF(COUNTIF('Channel List'!$B$2:$B$101,A10)=0,"",INDEX('Channel List'!$AC$2:$AC$101,MATCH(A10,'Channel List'!$B$2:$B$101,0)))</f>
        <v/>
      </c>
      <c r="D10" s="39" t="s">
        <v>100</v>
      </c>
      <c r="E10" s="40" t="str">
        <f>IF(COUNTIF('Channel List'!$B$2:$B$101,D10)=0,"",INDEX('Channel List'!$AC$2:$AC$101,MATCH(D10,'Channel List'!$B$2:$B$101,0)))</f>
        <v/>
      </c>
    </row>
    <row r="11" spans="1:5" ht="15" customHeight="1" x14ac:dyDescent="0.2">
      <c r="A11" s="38" t="s">
        <v>101</v>
      </c>
      <c r="B11" s="30" t="str">
        <f>IF(COUNTIF('Channel List'!$B$2:$B$101,A11)=0,"",INDEX('Channel List'!$AC$2:$AC$101,MATCH(A11,'Channel List'!$B$2:$B$101,0)))</f>
        <v/>
      </c>
      <c r="D11" s="39" t="s">
        <v>102</v>
      </c>
      <c r="E11" s="30" t="str">
        <f>IF(COUNTIF('Channel List'!$B$2:$B$101,D11)=0,"",INDEX('Channel List'!$AC$2:$AC$101,MATCH(D11,'Channel List'!$B$2:$B$101,0)))</f>
        <v/>
      </c>
    </row>
    <row r="12" spans="1:5" ht="15" customHeight="1" x14ac:dyDescent="0.2">
      <c r="A12" s="38" t="s">
        <v>103</v>
      </c>
      <c r="B12" s="40" t="str">
        <f>IF(COUNTIF('Channel List'!$B$2:$B$101,A12)=0,"",INDEX('Channel List'!$AC$2:$AC$101,MATCH(A12,'Channel List'!$B$2:$B$101,0)))</f>
        <v/>
      </c>
      <c r="D12" s="39" t="s">
        <v>27</v>
      </c>
      <c r="E12" s="40" t="str">
        <f>IF(COUNTIF('Channel List'!$B$2:$B$101,D12)=0,"",INDEX('Channel List'!$AC$2:$AC$101,MATCH(D12,'Channel List'!$B$2:$B$101,0)))</f>
        <v>Example 3</v>
      </c>
    </row>
    <row r="13" spans="1:5" ht="15" customHeight="1" x14ac:dyDescent="0.2">
      <c r="A13" s="38" t="s">
        <v>104</v>
      </c>
      <c r="B13" s="30" t="str">
        <f>IF(COUNTIF('Channel List'!$B$2:$B$101,A13)=0,"",INDEX('Channel List'!$AC$2:$AC$101,MATCH(A13,'Channel List'!$B$2:$B$101,0)))</f>
        <v/>
      </c>
      <c r="D13" s="39" t="s">
        <v>105</v>
      </c>
      <c r="E13" s="30" t="str">
        <f>IF(COUNTIF('Channel List'!$B$2:$B$101,D13)=0,"",INDEX('Channel List'!$AC$2:$AC$101,MATCH(D13,'Channel List'!$B$2:$B$101,0)))</f>
        <v/>
      </c>
    </row>
    <row r="14" spans="1:5" ht="15" customHeight="1" x14ac:dyDescent="0.2">
      <c r="A14" s="38" t="s">
        <v>106</v>
      </c>
      <c r="B14" s="40" t="str">
        <f>IF(COUNTIF('Channel List'!$B$2:$B$101,A14)=0,"",INDEX('Channel List'!$AC$2:$AC$101,MATCH(A14,'Channel List'!$B$2:$B$101,0)))</f>
        <v/>
      </c>
      <c r="D14" s="39" t="s">
        <v>107</v>
      </c>
      <c r="E14" s="40" t="str">
        <f>IF(COUNTIF('Channel List'!$B$2:$B$101,D14)=0,"",INDEX('Channel List'!$AC$2:$AC$101,MATCH(D14,'Channel List'!$B$2:$B$101,0)))</f>
        <v/>
      </c>
    </row>
    <row r="15" spans="1:5" ht="15" customHeight="1" x14ac:dyDescent="0.2">
      <c r="A15" s="38" t="s">
        <v>108</v>
      </c>
      <c r="B15" s="30" t="str">
        <f>IF(COUNTIF('Channel List'!$B$2:$B$101,A15)=0,"",INDEX('Channel List'!$AC$2:$AC$101,MATCH(A15,'Channel List'!$B$2:$B$101,0)))</f>
        <v/>
      </c>
      <c r="D15" s="39" t="s">
        <v>109</v>
      </c>
      <c r="E15" s="30" t="str">
        <f>IF(COUNTIF('Channel List'!$B$2:$B$101,D15)=0,"",INDEX('Channel List'!$AC$2:$AC$101,MATCH(D15,'Channel List'!$B$2:$B$101,0)))</f>
        <v/>
      </c>
    </row>
    <row r="16" spans="1:5" ht="15.75" customHeight="1" x14ac:dyDescent="0.2">
      <c r="A16" s="38" t="s">
        <v>110</v>
      </c>
      <c r="B16" s="40" t="str">
        <f>IF(COUNTIF('Channel List'!$B$2:$B$101,A16)=0,"",INDEX('Channel List'!$AC$2:$AC$101,MATCH(A16,'Channel List'!$B$2:$B$101,0)))</f>
        <v/>
      </c>
      <c r="D16" s="39" t="s">
        <v>111</v>
      </c>
      <c r="E16" s="40" t="str">
        <f>IF(COUNTIF('Channel List'!$B$2:$B$101,D16)=0,"",INDEX('Channel List'!$AC$2:$AC$101,MATCH(D16,'Channel List'!$B$2:$B$101,0)))</f>
        <v/>
      </c>
    </row>
    <row r="17" spans="1:5" ht="15" customHeight="1" x14ac:dyDescent="0.2">
      <c r="B17" t="str">
        <f>IF(COUNTIF('Channel List'!$B$2:$B$101,A17)=0,"",VLOOKUP(A17,'Channel List'!$B$2:$L$101,11,FALSE()))</f>
        <v/>
      </c>
      <c r="E17" t="str">
        <f>IF(COUNTIF('Channel List'!$B$2:$B$101,D17)=0,"",VLOOKUP(D17,'Channel List'!$B$2:$L$101,11,FALSE()))</f>
        <v/>
      </c>
    </row>
    <row r="18" spans="1:5" ht="15.75" customHeight="1" x14ac:dyDescent="0.2">
      <c r="B18" t="str">
        <f>IF(COUNTIF('Channel List'!$B$2:$B$101,A18)=0,"",VLOOKUP(A18,'Channel List'!$B$2:$L$101,11,FALSE()))</f>
        <v/>
      </c>
      <c r="E18" t="str">
        <f>IF(COUNTIF('Channel List'!$B$2:$B$101,D18)=0,"",VLOOKUP(D18,'Channel List'!$B$2:$L$101,11,FALSE()))</f>
        <v/>
      </c>
    </row>
    <row r="19" spans="1:5" ht="24" customHeight="1" x14ac:dyDescent="0.2">
      <c r="A19" s="41" t="s">
        <v>112</v>
      </c>
      <c r="B19" s="41" t="str">
        <f>IF(COUNTIF('Channel List'!$B$2:$B$101,A19)=0,"",VLOOKUP(A19,'Channel List'!$B$2:$L$101,11,FALSE()))</f>
        <v/>
      </c>
      <c r="D19" s="42" t="s">
        <v>113</v>
      </c>
      <c r="E19" s="42" t="str">
        <f>IF(COUNTIF('Channel List'!$B$2:$B$101,D19)=0,"",VLOOKUP(D19,'Channel List'!$B$2:$L$101,11,FALSE()))</f>
        <v/>
      </c>
    </row>
    <row r="20" spans="1:5" ht="15" customHeight="1" x14ac:dyDescent="0.2">
      <c r="A20" s="43" t="s">
        <v>114</v>
      </c>
      <c r="B20" s="40" t="str">
        <f>IF(COUNTIF('Channel List'!$B$2:$B$101,A20)=0,"",INDEX('Channel List'!$AC$2:$AC$101,MATCH(A20,'Channel List'!$B$2:$B$101,0)))</f>
        <v/>
      </c>
      <c r="D20" s="44" t="s">
        <v>115</v>
      </c>
      <c r="E20" s="40" t="str">
        <f>IF(COUNTIF('Channel List'!$B$2:$B$101,D20)=0,"",INDEX('Channel List'!$AC$2:$AC$101,MATCH(D20,'Channel List'!$B$2:$B$101,0)))</f>
        <v/>
      </c>
    </row>
    <row r="21" spans="1:5" ht="15" customHeight="1" x14ac:dyDescent="0.2">
      <c r="A21" s="43" t="s">
        <v>116</v>
      </c>
      <c r="B21" s="30" t="str">
        <f>IF(COUNTIF('Channel List'!$B$2:$B$101,A21)=0,"",INDEX('Channel List'!$AC$2:$AC$101,MATCH(A21,'Channel List'!$B$2:$B$101,0)))</f>
        <v/>
      </c>
      <c r="D21" s="44" t="s">
        <v>117</v>
      </c>
      <c r="E21" s="30" t="str">
        <f>IF(COUNTIF('Channel List'!$B$2:$B$101,D21)=0,"",INDEX('Channel List'!$AC$2:$AC$101,MATCH(D21,'Channel List'!$B$2:$B$101,0)))</f>
        <v/>
      </c>
    </row>
    <row r="22" spans="1:5" ht="15" customHeight="1" x14ac:dyDescent="0.2">
      <c r="A22" s="43" t="s">
        <v>15</v>
      </c>
      <c r="B22" s="40" t="str">
        <f>IF(COUNTIF('Channel List'!$B$2:$B$101,A22)=0,"",INDEX('Channel List'!$AC$2:$AC$101,MATCH(A22,'Channel List'!$B$2:$B$101,0)))</f>
        <v>Vocal for vocalist</v>
      </c>
      <c r="D22" s="44" t="s">
        <v>118</v>
      </c>
      <c r="E22" s="40" t="str">
        <f>IF(COUNTIF('Channel List'!$B$2:$B$101,D22)=0,"",INDEX('Channel List'!$AC$2:$AC$101,MATCH(D22,'Channel List'!$B$2:$B$101,0)))</f>
        <v>doug</v>
      </c>
    </row>
    <row r="23" spans="1:5" ht="15" customHeight="1" x14ac:dyDescent="0.2">
      <c r="A23" s="43" t="s">
        <v>119</v>
      </c>
      <c r="B23" s="30" t="str">
        <f>IF(COUNTIF('Channel List'!$B$2:$B$101,A23)=0,"",INDEX('Channel List'!$AC$2:$AC$101,MATCH(A23,'Channel List'!$B$2:$B$101,0)))</f>
        <v/>
      </c>
      <c r="D23" s="44" t="s">
        <v>120</v>
      </c>
      <c r="E23" s="30" t="str">
        <f>IF(COUNTIF('Channel List'!$B$2:$B$101,D23)=0,"",INDEX('Channel List'!$AC$2:$AC$101,MATCH(D23,'Channel List'!$B$2:$B$101,0)))</f>
        <v/>
      </c>
    </row>
    <row r="24" spans="1:5" ht="15" customHeight="1" x14ac:dyDescent="0.2">
      <c r="A24" s="43" t="s">
        <v>121</v>
      </c>
      <c r="B24" s="40" t="str">
        <f>IF(COUNTIF('Channel List'!$B$2:$B$101,A24)=0,"",INDEX('Channel List'!$AC$2:$AC$101,MATCH(A24,'Channel List'!$B$2:$B$101,0)))</f>
        <v/>
      </c>
      <c r="D24" s="44" t="s">
        <v>122</v>
      </c>
      <c r="E24" s="40" t="str">
        <f>IF(COUNTIF('Channel List'!$B$2:$B$101,D24)=0,"",INDEX('Channel List'!$AC$2:$AC$101,MATCH(D24,'Channel List'!$B$2:$B$101,0)))</f>
        <v/>
      </c>
    </row>
    <row r="25" spans="1:5" ht="15" customHeight="1" x14ac:dyDescent="0.2">
      <c r="A25" s="43" t="s">
        <v>123</v>
      </c>
      <c r="B25" s="30" t="str">
        <f>IF(COUNTIF('Channel List'!$B$2:$B$101,A25)=0,"",INDEX('Channel List'!$AC$2:$AC$101,MATCH(A25,'Channel List'!$B$2:$B$101,0)))</f>
        <v/>
      </c>
      <c r="D25" s="44" t="s">
        <v>124</v>
      </c>
      <c r="E25" s="30" t="str">
        <f>IF(COUNTIF('Channel List'!$B$2:$B$101,D25)=0,"",INDEX('Channel List'!$AC$2:$AC$101,MATCH(D25,'Channel List'!$B$2:$B$101,0)))</f>
        <v/>
      </c>
    </row>
    <row r="26" spans="1:5" ht="15" customHeight="1" x14ac:dyDescent="0.2">
      <c r="A26" s="43" t="s">
        <v>125</v>
      </c>
      <c r="B26" s="40" t="str">
        <f>IF(COUNTIF('Channel List'!$B$2:$B$101,A26)=0,"",INDEX('Channel List'!$AC$2:$AC$101,MATCH(A26,'Channel List'!$B$2:$B$101,0)))</f>
        <v/>
      </c>
      <c r="D26" s="44" t="s">
        <v>126</v>
      </c>
      <c r="E26" s="40" t="str">
        <f>IF(COUNTIF('Channel List'!$B$2:$B$101,D26)=0,"",INDEX('Channel List'!$AC$2:$AC$101,MATCH(D26,'Channel List'!$B$2:$B$101,0)))</f>
        <v/>
      </c>
    </row>
    <row r="27" spans="1:5" ht="15" customHeight="1" x14ac:dyDescent="0.2">
      <c r="A27" s="43" t="s">
        <v>127</v>
      </c>
      <c r="B27" s="30" t="str">
        <f>IF(COUNTIF('Channel List'!$B$2:$B$101,A27)=0,"",INDEX('Channel List'!$AC$2:$AC$101,MATCH(A27,'Channel List'!$B$2:$B$101,0)))</f>
        <v/>
      </c>
      <c r="D27" s="44" t="s">
        <v>128</v>
      </c>
      <c r="E27" s="30" t="str">
        <f>IF(COUNTIF('Channel List'!$B$2:$B$101,D27)=0,"",INDEX('Channel List'!$AC$2:$AC$101,MATCH(D27,'Channel List'!$B$2:$B$101,0)))</f>
        <v/>
      </c>
    </row>
    <row r="28" spans="1:5" ht="15" customHeight="1" x14ac:dyDescent="0.2">
      <c r="A28" s="43" t="s">
        <v>129</v>
      </c>
      <c r="B28" s="40" t="str">
        <f>IF(COUNTIF('Channel List'!$B$2:$B$101,A28)=0,"",INDEX('Channel List'!$AC$2:$AC$101,MATCH(A28,'Channel List'!$B$2:$B$101,0)))</f>
        <v/>
      </c>
      <c r="D28" s="44" t="s">
        <v>31</v>
      </c>
      <c r="E28" s="40" t="str">
        <f>IF(COUNTIF('Channel List'!$B$2:$B$101,D28)=0,"",INDEX('Channel List'!$AC$2:$AC$101,MATCH(D28,'Channel List'!$B$2:$B$101,0)))</f>
        <v>Example 4</v>
      </c>
    </row>
    <row r="29" spans="1:5" ht="15" customHeight="1" x14ac:dyDescent="0.2">
      <c r="A29" s="43" t="s">
        <v>130</v>
      </c>
      <c r="B29" s="30" t="str">
        <f>IF(COUNTIF('Channel List'!$B$2:$B$101,A29)=0,"",INDEX('Channel List'!$AC$2:$AC$101,MATCH(A29,'Channel List'!$B$2:$B$101,0)))</f>
        <v/>
      </c>
      <c r="D29" s="44" t="s">
        <v>131</v>
      </c>
      <c r="E29" s="30" t="str">
        <f>IF(COUNTIF('Channel List'!$B$2:$B$101,D29)=0,"",INDEX('Channel List'!$AC$2:$AC$101,MATCH(D29,'Channel List'!$B$2:$B$101,0)))</f>
        <v/>
      </c>
    </row>
    <row r="30" spans="1:5" ht="15" customHeight="1" x14ac:dyDescent="0.2">
      <c r="A30" s="43" t="s">
        <v>132</v>
      </c>
      <c r="B30" s="40" t="str">
        <f>IF(COUNTIF('Channel List'!$B$2:$B$101,A30)=0,"",INDEX('Channel List'!$AC$2:$AC$101,MATCH(A30,'Channel List'!$B$2:$B$101,0)))</f>
        <v/>
      </c>
      <c r="D30" s="44" t="s">
        <v>133</v>
      </c>
      <c r="E30" s="40" t="str">
        <f>IF(COUNTIF('Channel List'!$B$2:$B$101,D30)=0,"",INDEX('Channel List'!$AC$2:$AC$101,MATCH(D30,'Channel List'!$B$2:$B$101,0)))</f>
        <v/>
      </c>
    </row>
    <row r="31" spans="1:5" ht="15.75" customHeight="1" x14ac:dyDescent="0.2">
      <c r="A31" s="43" t="s">
        <v>134</v>
      </c>
      <c r="B31" s="30" t="str">
        <f>IF(COUNTIF('Channel List'!$B$2:$B$101,A31)=0,"",INDEX('Channel List'!$AC$2:$AC$101,MATCH(A31,'Channel List'!$B$2:$B$101,0)))</f>
        <v/>
      </c>
      <c r="D31" s="44" t="s">
        <v>135</v>
      </c>
      <c r="E31" s="30" t="str">
        <f>IF(COUNTIF('Channel List'!$B$2:$B$101,D31)=0,"",INDEX('Channel List'!$AC$2:$AC$101,MATCH(D31,'Channel List'!$B$2:$B$101,0)))</f>
        <v/>
      </c>
    </row>
    <row r="32" spans="1:5" ht="15" customHeight="1" x14ac:dyDescent="0.2">
      <c r="B32" t="str">
        <f>IF(COUNTIF('Channel List'!$B$2:$B$101,A32)=0,"",VLOOKUP(A32,'Channel List'!$B$2:$L$101,11,FALSE()))</f>
        <v/>
      </c>
      <c r="E32" t="str">
        <f>IF(COUNTIF('Channel List'!$B$2:$B$101,D32)=0,"",VLOOKUP(D32,'Channel List'!$B$2:$L$101,11,FALSE()))</f>
        <v/>
      </c>
    </row>
    <row r="33" spans="1:5" ht="15.75" customHeight="1" x14ac:dyDescent="0.2">
      <c r="B33" t="str">
        <f>IF(COUNTIF('Channel List'!$B$2:$B$101,A33)=0,"",VLOOKUP(A33,'Channel List'!$B$2:$L$101,11,FALSE()))</f>
        <v/>
      </c>
      <c r="E33" t="str">
        <f>IF(COUNTIF('Channel List'!$B$2:$B$101,D33)=0,"",VLOOKUP(D33,'Channel List'!$B$2:$L$101,11,FALSE()))</f>
        <v/>
      </c>
    </row>
    <row r="34" spans="1:5" ht="24" customHeight="1" x14ac:dyDescent="0.2">
      <c r="A34" s="45" t="s">
        <v>136</v>
      </c>
      <c r="B34" s="45" t="str">
        <f>IF(COUNTIF('Channel List'!$B$2:$B$101,A34)=0,"",VLOOKUP(A34,'Channel List'!$B$2:$L$101,11,FALSE()))</f>
        <v/>
      </c>
      <c r="D34" s="46" t="s">
        <v>137</v>
      </c>
      <c r="E34" s="46" t="str">
        <f>IF(COUNTIF('Channel List'!$B$2:$B$101,D34)=0,"",VLOOKUP(D34,'Channel List'!$B$2:$L$101,11,FALSE()))</f>
        <v/>
      </c>
    </row>
    <row r="35" spans="1:5" ht="15" customHeight="1" x14ac:dyDescent="0.2">
      <c r="A35" s="47" t="s">
        <v>138</v>
      </c>
      <c r="B35" s="30" t="str">
        <f>IF(COUNTIF('Channel List'!$B$2:$B$101,A35)=0,"",INDEX('Channel List'!$AC$2:$AC$101,MATCH(A35,'Channel List'!$B$2:$B$101,0)))</f>
        <v/>
      </c>
      <c r="D35" s="48" t="s">
        <v>139</v>
      </c>
      <c r="E35" s="30" t="str">
        <f>IF(COUNTIF('Channel List'!$B$2:$B$101,D35)=0,"",INDEX('Channel List'!$AC$2:$AC$101,MATCH(D35,'Channel List'!$B$2:$B$101,0)))</f>
        <v/>
      </c>
    </row>
    <row r="36" spans="1:5" ht="15" customHeight="1" x14ac:dyDescent="0.2">
      <c r="A36" s="47" t="s">
        <v>140</v>
      </c>
      <c r="B36" s="40" t="str">
        <f>IF(COUNTIF('Channel List'!$B$2:$B$101,A36)=0,"",INDEX('Channel List'!$AC$2:$AC$101,MATCH(A36,'Channel List'!$B$2:$B$101,0)))</f>
        <v/>
      </c>
      <c r="D36" s="48" t="s">
        <v>141</v>
      </c>
      <c r="E36" s="40" t="str">
        <f>IF(COUNTIF('Channel List'!$B$2:$B$101,D36)=0,"",INDEX('Channel List'!$AC$2:$AC$101,MATCH(D36,'Channel List'!$B$2:$B$101,0)))</f>
        <v/>
      </c>
    </row>
    <row r="37" spans="1:5" ht="15" customHeight="1" x14ac:dyDescent="0.2">
      <c r="A37" s="47" t="s">
        <v>142</v>
      </c>
      <c r="B37" s="30" t="str">
        <f>IF(COUNTIF('Channel List'!$B$2:$B$101,A37)=0,"",INDEX('Channel List'!$AC$2:$AC$101,MATCH(A37,'Channel List'!$B$2:$B$101,0)))</f>
        <v/>
      </c>
      <c r="D37" s="48" t="s">
        <v>143</v>
      </c>
      <c r="E37" s="30" t="str">
        <f>IF(COUNTIF('Channel List'!$B$2:$B$101,D37)=0,"",INDEX('Channel List'!$AC$2:$AC$101,MATCH(D37,'Channel List'!$B$2:$B$101,0)))</f>
        <v/>
      </c>
    </row>
    <row r="38" spans="1:5" ht="15" customHeight="1" x14ac:dyDescent="0.2">
      <c r="A38" s="47" t="s">
        <v>38</v>
      </c>
      <c r="B38" s="40" t="str">
        <f>IF(COUNTIF('Channel List'!$B$2:$B$101,A38)=0,"",INDEX('Channel List'!$AC$2:$AC$101,MATCH(A38,'Channel List'!$B$2:$B$101,0)))</f>
        <v>Example 5</v>
      </c>
      <c r="D38" s="48" t="s">
        <v>144</v>
      </c>
      <c r="E38" s="40" t="str">
        <f>IF(COUNTIF('Channel List'!$B$2:$B$101,D38)=0,"",INDEX('Channel List'!$AC$2:$AC$101,MATCH(D38,'Channel List'!$B$2:$B$101,0)))</f>
        <v/>
      </c>
    </row>
    <row r="39" spans="1:5" ht="15" customHeight="1" x14ac:dyDescent="0.2">
      <c r="A39" s="47" t="s">
        <v>145</v>
      </c>
      <c r="B39" s="30" t="str">
        <f>IF(COUNTIF('Channel List'!$B$2:$B$101,A39)=0,"",INDEX('Channel List'!$AC$2:$AC$101,MATCH(A39,'Channel List'!$B$2:$B$101,0)))</f>
        <v/>
      </c>
      <c r="D39" s="48" t="s">
        <v>146</v>
      </c>
      <c r="E39" s="30" t="str">
        <f>IF(COUNTIF('Channel List'!$B$2:$B$101,D39)=0,"",INDEX('Channel List'!$AC$2:$AC$101,MATCH(D39,'Channel List'!$B$2:$B$101,0)))</f>
        <v/>
      </c>
    </row>
    <row r="40" spans="1:5" ht="15" customHeight="1" x14ac:dyDescent="0.2">
      <c r="A40" s="47" t="s">
        <v>147</v>
      </c>
      <c r="B40" s="40" t="str">
        <f>IF(COUNTIF('Channel List'!$B$2:$B$101,A40)=0,"",INDEX('Channel List'!$AC$2:$AC$101,MATCH(A40,'Channel List'!$B$2:$B$101,0)))</f>
        <v/>
      </c>
      <c r="D40" s="48" t="s">
        <v>148</v>
      </c>
      <c r="E40" s="40" t="str">
        <f>IF(COUNTIF('Channel List'!$B$2:$B$101,D40)=0,"",INDEX('Channel List'!$AC$2:$AC$101,MATCH(D40,'Channel List'!$B$2:$B$101,0)))</f>
        <v/>
      </c>
    </row>
    <row r="41" spans="1:5" ht="15" customHeight="1" x14ac:dyDescent="0.2">
      <c r="A41" s="47" t="s">
        <v>149</v>
      </c>
      <c r="B41" s="30" t="str">
        <f>IF(COUNTIF('Channel List'!$B$2:$B$101,A41)=0,"",INDEX('Channel List'!$AC$2:$AC$101,MATCH(A41,'Channel List'!$B$2:$B$101,0)))</f>
        <v/>
      </c>
      <c r="D41" s="48" t="s">
        <v>150</v>
      </c>
      <c r="E41" s="30" t="str">
        <f>IF(COUNTIF('Channel List'!$B$2:$B$101,D41)=0,"",INDEX('Channel List'!$AC$2:$AC$101,MATCH(D41,'Channel List'!$B$2:$B$101,0)))</f>
        <v/>
      </c>
    </row>
    <row r="42" spans="1:5" ht="15" customHeight="1" x14ac:dyDescent="0.2">
      <c r="A42" s="47" t="s">
        <v>151</v>
      </c>
      <c r="B42" s="40" t="str">
        <f>IF(COUNTIF('Channel List'!$B$2:$B$101,A42)=0,"",INDEX('Channel List'!$AC$2:$AC$101,MATCH(A42,'Channel List'!$B$2:$B$101,0)))</f>
        <v/>
      </c>
      <c r="D42" s="48" t="s">
        <v>152</v>
      </c>
      <c r="E42" s="40" t="str">
        <f>IF(COUNTIF('Channel List'!$B$2:$B$101,D42)=0,"",INDEX('Channel List'!$AC$2:$AC$101,MATCH(D42,'Channel List'!$B$2:$B$101,0)))</f>
        <v/>
      </c>
    </row>
    <row r="43" spans="1:5" ht="15" customHeight="1" x14ac:dyDescent="0.2">
      <c r="A43" s="47" t="s">
        <v>153</v>
      </c>
      <c r="B43" s="30" t="str">
        <f>IF(COUNTIF('Channel List'!$B$2:$B$101,A43)=0,"",INDEX('Channel List'!$AC$2:$AC$101,MATCH(A43,'Channel List'!$B$2:$B$101,0)))</f>
        <v/>
      </c>
      <c r="D43" s="48" t="s">
        <v>154</v>
      </c>
      <c r="E43" s="30" t="str">
        <f>IF(COUNTIF('Channel List'!$B$2:$B$101,D43)=0,"",INDEX('Channel List'!$AC$2:$AC$101,MATCH(D43,'Channel List'!$B$2:$B$101,0)))</f>
        <v/>
      </c>
    </row>
    <row r="44" spans="1:5" ht="15" customHeight="1" x14ac:dyDescent="0.2">
      <c r="A44" s="47" t="s">
        <v>155</v>
      </c>
      <c r="B44" s="40" t="str">
        <f>IF(COUNTIF('Channel List'!$B$2:$B$101,A44)=0,"",INDEX('Channel List'!$AC$2:$AC$101,MATCH(A44,'Channel List'!$B$2:$B$101,0)))</f>
        <v/>
      </c>
      <c r="D44" s="48" t="s">
        <v>156</v>
      </c>
      <c r="E44" s="40" t="str">
        <f>IF(COUNTIF('Channel List'!$B$2:$B$101,D44)=0,"",INDEX('Channel List'!$AC$2:$AC$101,MATCH(D44,'Channel List'!$B$2:$B$101,0)))</f>
        <v/>
      </c>
    </row>
    <row r="45" spans="1:5" ht="15" customHeight="1" x14ac:dyDescent="0.2">
      <c r="A45" s="47" t="s">
        <v>157</v>
      </c>
      <c r="B45" s="30" t="str">
        <f>IF(COUNTIF('Channel List'!$B$2:$B$101,A45)=0,"",INDEX('Channel List'!$AC$2:$AC$101,MATCH(A45,'Channel List'!$B$2:$B$101,0)))</f>
        <v/>
      </c>
      <c r="D45" s="48" t="s">
        <v>41</v>
      </c>
      <c r="E45" s="30" t="str">
        <f>IF(COUNTIF('Channel List'!$B$2:$B$101,D45)=0,"",INDEX('Channel List'!$AC$2:$AC$101,MATCH(D45,'Channel List'!$B$2:$B$101,0)))</f>
        <v>Example 6</v>
      </c>
    </row>
    <row r="46" spans="1:5" ht="15.75" customHeight="1" x14ac:dyDescent="0.2">
      <c r="A46" s="47" t="s">
        <v>158</v>
      </c>
      <c r="B46" s="40" t="str">
        <f>IF(COUNTIF('Channel List'!$B$2:$B$101,A46)=0,"",INDEX('Channel List'!$AC$2:$AC$101,MATCH(A46,'Channel List'!$B$2:$B$101,0)))</f>
        <v/>
      </c>
      <c r="D46" s="48" t="s">
        <v>159</v>
      </c>
      <c r="E46" s="40" t="str">
        <f>IF(COUNTIF('Channel List'!$B$2:$B$101,D46)=0,"",INDEX('Channel List'!$AC$2:$AC$101,MATCH(D46,'Channel List'!$B$2:$B$101,0)))</f>
        <v/>
      </c>
    </row>
  </sheetData>
  <mergeCells count="2">
    <mergeCell ref="A1:E1"/>
    <mergeCell ref="A2:E2"/>
  </mergeCells>
  <conditionalFormatting sqref="A4:F16 A17:H18 A19:E31 A34:E46">
    <cfRule type="cellIs" dxfId="0" priority="2" operator="equal">
      <formula>0</formula>
    </cfRule>
  </conditionalFormatting>
  <pageMargins left="0.25" right="0.25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97B63"/>
  </sheetPr>
  <dimension ref="A1:E1002"/>
  <sheetViews>
    <sheetView showGridLines="0" zoomScaleNormal="100" workbookViewId="0">
      <pane ySplit="3" topLeftCell="A4" activePane="bottomLeft" state="frozen"/>
      <selection pane="bottomLeft" activeCell="I31" sqref="I31"/>
    </sheetView>
  </sheetViews>
  <sheetFormatPr baseColWidth="10" defaultColWidth="8.83203125" defaultRowHeight="15" customHeight="1" x14ac:dyDescent="0.2"/>
  <cols>
    <col min="1" max="1" width="16" customWidth="1"/>
    <col min="2" max="2" width="30" customWidth="1"/>
    <col min="3" max="3" width="12" customWidth="1"/>
    <col min="4" max="5" width="24" customWidth="1"/>
  </cols>
  <sheetData>
    <row r="1" spans="1:5" ht="30" customHeight="1" x14ac:dyDescent="0.2">
      <c r="A1" s="2" t="e">
        <f>'Channel List'!#REF!&amp;" - Equipment Pick List"</f>
        <v>#REF!</v>
      </c>
      <c r="B1" s="2"/>
      <c r="C1" s="2"/>
      <c r="D1" s="2"/>
      <c r="E1" s="2"/>
    </row>
    <row r="2" spans="1:5" ht="19.5" customHeight="1" x14ac:dyDescent="0.2">
      <c r="A2" s="1" t="s">
        <v>160</v>
      </c>
      <c r="B2" s="1"/>
      <c r="C2" s="1"/>
      <c r="D2" s="1"/>
      <c r="E2" s="1"/>
    </row>
    <row r="3" spans="1:5" ht="21.75" customHeight="1" x14ac:dyDescent="0.2">
      <c r="A3" s="29" t="s">
        <v>161</v>
      </c>
      <c r="B3" s="29" t="s">
        <v>3</v>
      </c>
      <c r="C3" s="29" t="s">
        <v>84</v>
      </c>
      <c r="D3" s="29" t="s">
        <v>162</v>
      </c>
      <c r="E3" s="29" t="s">
        <v>7</v>
      </c>
    </row>
    <row r="4" spans="1:5" ht="18" customHeight="1" x14ac:dyDescent="0.2">
      <c r="A4" s="30"/>
      <c r="B4" s="30"/>
      <c r="C4" s="31"/>
      <c r="D4" s="30"/>
      <c r="E4" s="30"/>
    </row>
    <row r="5" spans="1:5" ht="18" customHeight="1" x14ac:dyDescent="0.2">
      <c r="A5" s="49"/>
      <c r="B5" s="49"/>
      <c r="C5" s="50"/>
      <c r="D5" s="49"/>
      <c r="E5" s="49"/>
    </row>
    <row r="6" spans="1:5" ht="18" customHeight="1" x14ac:dyDescent="0.2">
      <c r="A6" s="30"/>
      <c r="B6" s="30"/>
      <c r="C6" s="31"/>
      <c r="D6" s="30"/>
      <c r="E6" s="30"/>
    </row>
    <row r="7" spans="1:5" ht="18" customHeight="1" x14ac:dyDescent="0.2">
      <c r="A7" s="49"/>
      <c r="B7" s="49"/>
      <c r="C7" s="50"/>
      <c r="D7" s="49"/>
      <c r="E7" s="49"/>
    </row>
    <row r="8" spans="1:5" ht="18" customHeight="1" x14ac:dyDescent="0.2">
      <c r="A8" s="51" t="s">
        <v>163</v>
      </c>
      <c r="B8" s="51"/>
      <c r="C8" s="51"/>
      <c r="D8" s="51"/>
      <c r="E8" s="51"/>
    </row>
    <row r="9" spans="1:5" ht="18" customHeight="1" x14ac:dyDescent="0.2">
      <c r="A9" s="52" t="s">
        <v>164</v>
      </c>
      <c r="B9" s="52" t="s">
        <v>165</v>
      </c>
      <c r="C9" s="53">
        <v>1</v>
      </c>
      <c r="D9" s="52" t="s">
        <v>165</v>
      </c>
      <c r="E9" s="52"/>
    </row>
    <row r="10" spans="1:5" ht="18" customHeight="1" x14ac:dyDescent="0.2">
      <c r="A10" s="52" t="s">
        <v>166</v>
      </c>
      <c r="B10" s="52" t="s">
        <v>167</v>
      </c>
      <c r="C10" s="53" t="s">
        <v>168</v>
      </c>
      <c r="D10" s="52" t="s">
        <v>169</v>
      </c>
      <c r="E10" s="52"/>
    </row>
    <row r="11" spans="1:5" ht="18" customHeight="1" x14ac:dyDescent="0.2">
      <c r="A11" s="49"/>
      <c r="B11" s="49"/>
      <c r="C11" s="50"/>
      <c r="D11" s="49"/>
      <c r="E11" s="49"/>
    </row>
    <row r="12" spans="1:5" ht="18" customHeight="1" x14ac:dyDescent="0.2">
      <c r="A12" s="30"/>
      <c r="B12" s="30"/>
      <c r="C12" s="31"/>
      <c r="D12" s="30"/>
      <c r="E12" s="30"/>
    </row>
    <row r="13" spans="1:5" ht="18" customHeight="1" x14ac:dyDescent="0.2">
      <c r="A13" s="49"/>
      <c r="B13" s="49"/>
      <c r="C13" s="50"/>
      <c r="D13" s="49"/>
      <c r="E13" s="49"/>
    </row>
    <row r="14" spans="1:5" ht="18" customHeight="1" x14ac:dyDescent="0.2">
      <c r="A14" s="30"/>
      <c r="B14" s="30"/>
      <c r="C14" s="31"/>
      <c r="D14" s="30"/>
      <c r="E14" s="30"/>
    </row>
    <row r="15" spans="1:5" ht="18" customHeight="1" x14ac:dyDescent="0.2">
      <c r="A15" s="49"/>
      <c r="B15" s="49"/>
      <c r="C15" s="50"/>
      <c r="D15" s="49"/>
      <c r="E15" s="49"/>
    </row>
    <row r="16" spans="1:5" ht="18" customHeight="1" x14ac:dyDescent="0.2">
      <c r="A16" s="30"/>
      <c r="B16" s="30"/>
      <c r="C16" s="31"/>
      <c r="D16" s="30"/>
      <c r="E16" s="30"/>
    </row>
    <row r="17" spans="1:5" ht="18" customHeight="1" x14ac:dyDescent="0.2">
      <c r="A17" s="49"/>
      <c r="B17" s="49"/>
      <c r="C17" s="50"/>
      <c r="D17" s="49"/>
      <c r="E17" s="49"/>
    </row>
    <row r="18" spans="1:5" ht="18" customHeight="1" x14ac:dyDescent="0.2">
      <c r="A18" s="30"/>
      <c r="B18" s="30"/>
      <c r="C18" s="31"/>
      <c r="D18" s="30"/>
      <c r="E18" s="30"/>
    </row>
    <row r="19" spans="1:5" ht="18" customHeight="1" x14ac:dyDescent="0.2">
      <c r="A19" s="49"/>
      <c r="B19" s="49"/>
      <c r="C19" s="50"/>
      <c r="D19" s="49"/>
      <c r="E19" s="49"/>
    </row>
    <row r="20" spans="1:5" ht="18" customHeight="1" x14ac:dyDescent="0.2">
      <c r="A20" s="30"/>
      <c r="B20" s="30"/>
      <c r="C20" s="31"/>
      <c r="D20" s="30"/>
      <c r="E20" s="30"/>
    </row>
    <row r="21" spans="1:5" ht="18" customHeight="1" x14ac:dyDescent="0.2">
      <c r="A21" s="49"/>
      <c r="B21" s="49"/>
      <c r="C21" s="50"/>
      <c r="D21" s="49"/>
      <c r="E21" s="49"/>
    </row>
    <row r="22" spans="1:5" ht="18" customHeight="1" x14ac:dyDescent="0.2">
      <c r="A22" s="30"/>
      <c r="B22" s="30"/>
      <c r="C22" s="31"/>
      <c r="D22" s="30"/>
      <c r="E22" s="30"/>
    </row>
    <row r="23" spans="1:5" ht="18" customHeight="1" x14ac:dyDescent="0.2">
      <c r="A23" s="49"/>
      <c r="B23" s="49"/>
      <c r="C23" s="50"/>
      <c r="D23" s="49"/>
      <c r="E23" s="49"/>
    </row>
    <row r="24" spans="1:5" ht="18" customHeight="1" x14ac:dyDescent="0.2">
      <c r="A24" s="30"/>
      <c r="B24" s="30"/>
      <c r="C24" s="31"/>
      <c r="D24" s="30"/>
      <c r="E24" s="30"/>
    </row>
    <row r="25" spans="1:5" ht="18" customHeight="1" x14ac:dyDescent="0.2">
      <c r="A25" s="49"/>
      <c r="B25" s="49"/>
      <c r="C25" s="50"/>
      <c r="D25" s="49"/>
      <c r="E25" s="49"/>
    </row>
    <row r="26" spans="1:5" ht="18" customHeight="1" x14ac:dyDescent="0.2">
      <c r="A26" s="30"/>
      <c r="B26" s="30"/>
      <c r="C26" s="31"/>
      <c r="D26" s="30"/>
      <c r="E26" s="30"/>
    </row>
    <row r="27" spans="1:5" ht="18" customHeight="1" x14ac:dyDescent="0.2">
      <c r="A27" s="49"/>
      <c r="B27" s="49"/>
      <c r="C27" s="50"/>
      <c r="D27" s="49"/>
      <c r="E27" s="49"/>
    </row>
    <row r="28" spans="1:5" ht="18" customHeight="1" x14ac:dyDescent="0.2">
      <c r="A28" s="30"/>
      <c r="B28" s="30"/>
      <c r="C28" s="31"/>
      <c r="D28" s="30"/>
      <c r="E28" s="30"/>
    </row>
    <row r="29" spans="1:5" ht="18" customHeight="1" x14ac:dyDescent="0.2">
      <c r="A29" s="49"/>
      <c r="B29" s="49"/>
      <c r="C29" s="50"/>
      <c r="D29" s="49"/>
      <c r="E29" s="49"/>
    </row>
    <row r="30" spans="1:5" ht="18" customHeight="1" x14ac:dyDescent="0.2">
      <c r="A30" s="30"/>
      <c r="B30" s="30"/>
      <c r="C30" s="31"/>
      <c r="D30" s="30"/>
      <c r="E30" s="30"/>
    </row>
    <row r="31" spans="1:5" ht="18" customHeight="1" x14ac:dyDescent="0.2">
      <c r="A31" s="49"/>
      <c r="B31" s="49"/>
      <c r="C31" s="50"/>
      <c r="D31" s="49"/>
      <c r="E31" s="49"/>
    </row>
    <row r="32" spans="1:5" ht="18" customHeight="1" x14ac:dyDescent="0.2">
      <c r="A32" s="30"/>
      <c r="B32" s="30"/>
      <c r="C32" s="31"/>
      <c r="D32" s="30"/>
      <c r="E32" s="30"/>
    </row>
    <row r="33" spans="1:5" ht="18" customHeight="1" x14ac:dyDescent="0.2">
      <c r="A33" s="49"/>
      <c r="B33" s="49"/>
      <c r="C33" s="50"/>
      <c r="D33" s="49"/>
      <c r="E33" s="49"/>
    </row>
    <row r="34" spans="1:5" ht="18" customHeight="1" x14ac:dyDescent="0.2">
      <c r="A34" s="30"/>
      <c r="B34" s="30"/>
      <c r="C34" s="31"/>
      <c r="D34" s="30"/>
      <c r="E34" s="30"/>
    </row>
    <row r="35" spans="1:5" ht="18" customHeight="1" x14ac:dyDescent="0.2">
      <c r="A35" s="49"/>
      <c r="B35" s="49"/>
      <c r="C35" s="50"/>
      <c r="D35" s="49"/>
      <c r="E35" s="49"/>
    </row>
    <row r="36" spans="1:5" ht="18" customHeight="1" x14ac:dyDescent="0.2">
      <c r="A36" s="30"/>
      <c r="B36" s="30"/>
      <c r="C36" s="31"/>
      <c r="D36" s="30"/>
      <c r="E36" s="30"/>
    </row>
    <row r="37" spans="1:5" ht="18" customHeight="1" x14ac:dyDescent="0.2">
      <c r="A37" s="49"/>
      <c r="B37" s="49"/>
      <c r="C37" s="50"/>
      <c r="D37" s="49"/>
      <c r="E37" s="49"/>
    </row>
    <row r="38" spans="1:5" ht="18" customHeight="1" x14ac:dyDescent="0.2">
      <c r="A38" s="30"/>
      <c r="B38" s="30"/>
      <c r="C38" s="31"/>
      <c r="D38" s="30"/>
      <c r="E38" s="30"/>
    </row>
    <row r="39" spans="1:5" ht="18" customHeight="1" x14ac:dyDescent="0.2">
      <c r="A39" s="49"/>
      <c r="B39" s="49"/>
      <c r="C39" s="50"/>
      <c r="D39" s="49"/>
      <c r="E39" s="49"/>
    </row>
    <row r="40" spans="1:5" ht="18" customHeight="1" x14ac:dyDescent="0.2">
      <c r="A40" s="30"/>
      <c r="B40" s="30"/>
      <c r="C40" s="31"/>
      <c r="D40" s="30"/>
      <c r="E40" s="30"/>
    </row>
    <row r="41" spans="1:5" ht="18" customHeight="1" x14ac:dyDescent="0.2">
      <c r="A41" s="49"/>
      <c r="B41" s="49"/>
      <c r="C41" s="50"/>
      <c r="D41" s="49"/>
      <c r="E41" s="49"/>
    </row>
    <row r="42" spans="1:5" ht="18" customHeight="1" x14ac:dyDescent="0.2">
      <c r="A42" s="30"/>
      <c r="B42" s="30"/>
      <c r="C42" s="31"/>
      <c r="D42" s="30"/>
      <c r="E42" s="30"/>
    </row>
    <row r="43" spans="1:5" ht="18" customHeight="1" x14ac:dyDescent="0.2">
      <c r="A43" s="49"/>
      <c r="B43" s="49"/>
      <c r="C43" s="50"/>
      <c r="D43" s="49"/>
      <c r="E43" s="49"/>
    </row>
    <row r="44" spans="1:5" ht="18" customHeight="1" x14ac:dyDescent="0.2">
      <c r="A44" s="30"/>
      <c r="B44" s="30"/>
      <c r="C44" s="31"/>
      <c r="D44" s="30"/>
      <c r="E44" s="30"/>
    </row>
    <row r="45" spans="1:5" ht="18" customHeight="1" x14ac:dyDescent="0.2">
      <c r="A45" s="49"/>
      <c r="B45" s="49"/>
      <c r="C45" s="50"/>
      <c r="D45" s="49"/>
      <c r="E45" s="49"/>
    </row>
    <row r="46" spans="1:5" ht="18" customHeight="1" x14ac:dyDescent="0.2">
      <c r="A46" s="30"/>
      <c r="B46" s="30"/>
      <c r="C46" s="31"/>
      <c r="D46" s="30"/>
      <c r="E46" s="30"/>
    </row>
    <row r="47" spans="1:5" ht="18" customHeight="1" x14ac:dyDescent="0.2">
      <c r="A47" s="49"/>
      <c r="B47" s="49"/>
      <c r="C47" s="50"/>
      <c r="D47" s="49"/>
      <c r="E47" s="49"/>
    </row>
    <row r="48" spans="1:5" ht="18" customHeight="1" x14ac:dyDescent="0.2">
      <c r="A48" s="30"/>
      <c r="B48" s="30"/>
      <c r="C48" s="31"/>
      <c r="D48" s="30"/>
      <c r="E48" s="30"/>
    </row>
    <row r="49" spans="1:5" ht="18" customHeight="1" x14ac:dyDescent="0.2">
      <c r="A49" s="49"/>
      <c r="B49" s="49"/>
      <c r="C49" s="50"/>
      <c r="D49" s="49"/>
      <c r="E49" s="49"/>
    </row>
    <row r="50" spans="1:5" ht="18" customHeight="1" x14ac:dyDescent="0.2">
      <c r="A50" s="30"/>
      <c r="B50" s="30"/>
      <c r="C50" s="31"/>
      <c r="D50" s="30"/>
      <c r="E50" s="30"/>
    </row>
    <row r="51" spans="1:5" ht="18" customHeight="1" x14ac:dyDescent="0.2">
      <c r="A51" s="49"/>
      <c r="B51" s="49"/>
      <c r="C51" s="50"/>
      <c r="D51" s="49"/>
      <c r="E51" s="49"/>
    </row>
    <row r="52" spans="1:5" ht="18" customHeight="1" x14ac:dyDescent="0.2">
      <c r="A52" s="30"/>
      <c r="B52" s="30"/>
      <c r="C52" s="31"/>
      <c r="D52" s="30"/>
      <c r="E52" s="30"/>
    </row>
    <row r="53" spans="1:5" ht="18" customHeight="1" x14ac:dyDescent="0.2">
      <c r="A53" s="49"/>
      <c r="B53" s="49"/>
      <c r="C53" s="50"/>
      <c r="D53" s="49"/>
      <c r="E53" s="49"/>
    </row>
    <row r="54" spans="1:5" ht="18" customHeight="1" x14ac:dyDescent="0.2">
      <c r="A54" s="30"/>
      <c r="B54" s="30"/>
      <c r="C54" s="31"/>
      <c r="D54" s="30"/>
      <c r="E54" s="30"/>
    </row>
    <row r="55" spans="1:5" ht="18" customHeight="1" x14ac:dyDescent="0.2">
      <c r="A55" s="49"/>
      <c r="B55" s="49"/>
      <c r="C55" s="50"/>
      <c r="D55" s="49"/>
      <c r="E55" s="49"/>
    </row>
    <row r="56" spans="1:5" ht="18" customHeight="1" x14ac:dyDescent="0.2">
      <c r="A56" s="30"/>
      <c r="B56" s="30"/>
      <c r="C56" s="31"/>
      <c r="D56" s="30"/>
      <c r="E56" s="30"/>
    </row>
    <row r="57" spans="1:5" ht="18" customHeight="1" x14ac:dyDescent="0.2">
      <c r="A57" s="49"/>
      <c r="B57" s="49"/>
      <c r="C57" s="50"/>
      <c r="D57" s="49"/>
      <c r="E57" s="49"/>
    </row>
    <row r="58" spans="1:5" ht="18" customHeight="1" x14ac:dyDescent="0.2">
      <c r="A58" s="30"/>
      <c r="B58" s="30"/>
      <c r="C58" s="31"/>
      <c r="D58" s="30"/>
      <c r="E58" s="30"/>
    </row>
    <row r="59" spans="1:5" ht="18" customHeight="1" x14ac:dyDescent="0.2">
      <c r="A59" s="49"/>
      <c r="B59" s="49"/>
      <c r="C59" s="50"/>
      <c r="D59" s="49"/>
      <c r="E59" s="49"/>
    </row>
    <row r="60" spans="1:5" ht="18" customHeight="1" x14ac:dyDescent="0.2">
      <c r="A60" s="30"/>
      <c r="B60" s="30"/>
      <c r="C60" s="31"/>
      <c r="D60" s="30"/>
      <c r="E60" s="30"/>
    </row>
    <row r="61" spans="1:5" ht="18" customHeight="1" x14ac:dyDescent="0.2">
      <c r="A61" s="49"/>
      <c r="B61" s="49"/>
      <c r="C61" s="50"/>
      <c r="D61" s="49"/>
      <c r="E61" s="49"/>
    </row>
    <row r="62" spans="1:5" ht="18" customHeight="1" x14ac:dyDescent="0.2">
      <c r="A62" s="30"/>
      <c r="B62" s="30"/>
      <c r="C62" s="31"/>
      <c r="D62" s="30"/>
      <c r="E62" s="30"/>
    </row>
    <row r="63" spans="1:5" ht="18" customHeight="1" x14ac:dyDescent="0.2">
      <c r="A63" s="49"/>
      <c r="B63" s="49"/>
      <c r="C63" s="50"/>
      <c r="D63" s="49"/>
      <c r="E63" s="49"/>
    </row>
    <row r="64" spans="1:5" ht="18" customHeight="1" x14ac:dyDescent="0.2">
      <c r="A64" s="30"/>
      <c r="B64" s="30"/>
      <c r="C64" s="31"/>
      <c r="D64" s="30"/>
      <c r="E64" s="30"/>
    </row>
    <row r="65" spans="1:5" ht="18" customHeight="1" x14ac:dyDescent="0.2">
      <c r="A65" s="49"/>
      <c r="B65" s="49"/>
      <c r="C65" s="50"/>
      <c r="D65" s="49"/>
      <c r="E65" s="49"/>
    </row>
    <row r="66" spans="1:5" ht="18" customHeight="1" x14ac:dyDescent="0.2">
      <c r="A66" s="30"/>
      <c r="B66" s="30"/>
      <c r="C66" s="31"/>
      <c r="D66" s="30"/>
      <c r="E66" s="30"/>
    </row>
    <row r="67" spans="1:5" ht="18" customHeight="1" x14ac:dyDescent="0.2">
      <c r="A67" s="49"/>
      <c r="B67" s="49"/>
      <c r="C67" s="50"/>
      <c r="D67" s="49"/>
      <c r="E67" s="49"/>
    </row>
    <row r="68" spans="1:5" ht="18" customHeight="1" x14ac:dyDescent="0.2">
      <c r="A68" s="30"/>
      <c r="B68" s="30"/>
      <c r="C68" s="31"/>
      <c r="D68" s="30"/>
      <c r="E68" s="30"/>
    </row>
    <row r="69" spans="1:5" ht="18" customHeight="1" x14ac:dyDescent="0.2">
      <c r="A69" s="49"/>
      <c r="B69" s="49"/>
      <c r="C69" s="50"/>
      <c r="D69" s="49"/>
      <c r="E69" s="49"/>
    </row>
    <row r="70" spans="1:5" ht="18" customHeight="1" x14ac:dyDescent="0.2">
      <c r="A70" s="30"/>
      <c r="B70" s="30"/>
      <c r="C70" s="31"/>
      <c r="D70" s="30"/>
      <c r="E70" s="30"/>
    </row>
    <row r="71" spans="1:5" ht="18" customHeight="1" x14ac:dyDescent="0.2">
      <c r="A71" s="49"/>
      <c r="B71" s="49"/>
      <c r="C71" s="50"/>
      <c r="D71" s="49"/>
      <c r="E71" s="49"/>
    </row>
    <row r="72" spans="1:5" ht="18" customHeight="1" x14ac:dyDescent="0.2">
      <c r="A72" s="30"/>
      <c r="B72" s="30"/>
      <c r="C72" s="31"/>
      <c r="D72" s="30"/>
      <c r="E72" s="30"/>
    </row>
    <row r="73" spans="1:5" ht="18" customHeight="1" x14ac:dyDescent="0.2">
      <c r="A73" s="49"/>
      <c r="B73" s="49"/>
      <c r="C73" s="50"/>
      <c r="D73" s="49"/>
      <c r="E73" s="49"/>
    </row>
    <row r="74" spans="1:5" ht="18" customHeight="1" x14ac:dyDescent="0.2">
      <c r="A74" s="30"/>
      <c r="B74" s="30"/>
      <c r="C74" s="31"/>
      <c r="D74" s="30"/>
      <c r="E74" s="30"/>
    </row>
    <row r="75" spans="1:5" ht="18" customHeight="1" x14ac:dyDescent="0.2">
      <c r="A75" s="49"/>
      <c r="B75" s="49"/>
      <c r="C75" s="50"/>
      <c r="D75" s="49"/>
      <c r="E75" s="49"/>
    </row>
    <row r="76" spans="1:5" ht="18" customHeight="1" x14ac:dyDescent="0.2">
      <c r="A76" s="30"/>
      <c r="B76" s="30"/>
      <c r="C76" s="31"/>
      <c r="D76" s="30"/>
      <c r="E76" s="30"/>
    </row>
    <row r="77" spans="1:5" ht="18" customHeight="1" x14ac:dyDescent="0.2">
      <c r="A77" s="49"/>
      <c r="B77" s="49"/>
      <c r="C77" s="50"/>
      <c r="D77" s="49"/>
      <c r="E77" s="49"/>
    </row>
    <row r="78" spans="1:5" ht="18" customHeight="1" x14ac:dyDescent="0.2">
      <c r="A78" s="30"/>
      <c r="B78" s="30"/>
      <c r="C78" s="31"/>
      <c r="D78" s="30"/>
      <c r="E78" s="30"/>
    </row>
    <row r="79" spans="1:5" ht="18" customHeight="1" x14ac:dyDescent="0.2">
      <c r="A79" s="49"/>
      <c r="B79" s="49"/>
      <c r="C79" s="50"/>
      <c r="D79" s="49"/>
      <c r="E79" s="49"/>
    </row>
    <row r="80" spans="1:5" ht="18" customHeight="1" x14ac:dyDescent="0.2">
      <c r="A80" s="30"/>
      <c r="B80" s="30"/>
      <c r="C80" s="31"/>
      <c r="D80" s="30"/>
      <c r="E80" s="30"/>
    </row>
    <row r="81" spans="1:5" ht="18" customHeight="1" x14ac:dyDescent="0.2">
      <c r="A81" s="49"/>
      <c r="B81" s="49"/>
      <c r="C81" s="50"/>
      <c r="D81" s="49"/>
      <c r="E81" s="49"/>
    </row>
    <row r="82" spans="1:5" ht="18" customHeight="1" x14ac:dyDescent="0.2">
      <c r="A82" s="30"/>
      <c r="B82" s="30"/>
      <c r="C82" s="31"/>
      <c r="D82" s="30"/>
      <c r="E82" s="30"/>
    </row>
    <row r="83" spans="1:5" ht="18" customHeight="1" x14ac:dyDescent="0.2">
      <c r="A83" s="49"/>
      <c r="B83" s="49"/>
      <c r="C83" s="50"/>
      <c r="D83" s="49"/>
      <c r="E83" s="49"/>
    </row>
    <row r="84" spans="1:5" ht="18" customHeight="1" x14ac:dyDescent="0.2">
      <c r="A84" s="30"/>
      <c r="B84" s="30"/>
      <c r="C84" s="31"/>
      <c r="D84" s="30"/>
      <c r="E84" s="30"/>
    </row>
    <row r="85" spans="1:5" ht="18" customHeight="1" x14ac:dyDescent="0.2">
      <c r="A85" s="49"/>
      <c r="B85" s="49"/>
      <c r="C85" s="50"/>
      <c r="D85" s="49"/>
      <c r="E85" s="49"/>
    </row>
    <row r="86" spans="1:5" ht="18" customHeight="1" x14ac:dyDescent="0.2">
      <c r="A86" s="30"/>
      <c r="B86" s="30"/>
      <c r="C86" s="31"/>
      <c r="D86" s="30"/>
      <c r="E86" s="30"/>
    </row>
    <row r="87" spans="1:5" ht="18" customHeight="1" x14ac:dyDescent="0.2">
      <c r="A87" s="49"/>
      <c r="B87" s="49"/>
      <c r="C87" s="50"/>
      <c r="D87" s="49"/>
      <c r="E87" s="49"/>
    </row>
    <row r="88" spans="1:5" ht="18" customHeight="1" x14ac:dyDescent="0.2">
      <c r="A88" s="30"/>
      <c r="B88" s="30"/>
      <c r="C88" s="31"/>
      <c r="D88" s="30"/>
      <c r="E88" s="30"/>
    </row>
    <row r="89" spans="1:5" ht="18" customHeight="1" x14ac:dyDescent="0.2">
      <c r="A89" s="49"/>
      <c r="B89" s="49"/>
      <c r="C89" s="50"/>
      <c r="D89" s="49"/>
      <c r="E89" s="49"/>
    </row>
    <row r="90" spans="1:5" ht="18" customHeight="1" x14ac:dyDescent="0.2">
      <c r="A90" s="30"/>
      <c r="B90" s="30"/>
      <c r="C90" s="31"/>
      <c r="D90" s="30"/>
      <c r="E90" s="30"/>
    </row>
    <row r="91" spans="1:5" ht="18" customHeight="1" x14ac:dyDescent="0.2">
      <c r="A91" s="49"/>
      <c r="B91" s="49"/>
      <c r="C91" s="50"/>
      <c r="D91" s="49"/>
      <c r="E91" s="49"/>
    </row>
    <row r="92" spans="1:5" ht="18" customHeight="1" x14ac:dyDescent="0.2">
      <c r="A92" s="30"/>
      <c r="B92" s="30"/>
      <c r="C92" s="31"/>
      <c r="D92" s="30"/>
      <c r="E92" s="30"/>
    </row>
    <row r="93" spans="1:5" ht="18" customHeight="1" x14ac:dyDescent="0.2">
      <c r="A93" s="49"/>
      <c r="B93" s="49"/>
      <c r="C93" s="50"/>
      <c r="D93" s="49"/>
      <c r="E93" s="49"/>
    </row>
    <row r="94" spans="1:5" ht="18" customHeight="1" x14ac:dyDescent="0.2">
      <c r="A94" s="30"/>
      <c r="B94" s="30"/>
      <c r="C94" s="31"/>
      <c r="D94" s="30"/>
      <c r="E94" s="30"/>
    </row>
    <row r="95" spans="1:5" ht="18" customHeight="1" x14ac:dyDescent="0.2">
      <c r="A95" s="49"/>
      <c r="B95" s="49"/>
      <c r="C95" s="50"/>
      <c r="D95" s="49"/>
      <c r="E95" s="49"/>
    </row>
    <row r="96" spans="1:5" ht="18" customHeight="1" x14ac:dyDescent="0.2">
      <c r="A96" s="30"/>
      <c r="B96" s="30"/>
      <c r="C96" s="31"/>
      <c r="D96" s="30"/>
      <c r="E96" s="30"/>
    </row>
    <row r="97" spans="1:5" ht="18" customHeight="1" x14ac:dyDescent="0.2">
      <c r="A97" s="49"/>
      <c r="B97" s="49"/>
      <c r="C97" s="50"/>
      <c r="D97" s="49"/>
      <c r="E97" s="49"/>
    </row>
    <row r="98" spans="1:5" ht="18" customHeight="1" x14ac:dyDescent="0.2">
      <c r="A98" s="30"/>
      <c r="B98" s="30"/>
      <c r="C98" s="31"/>
      <c r="D98" s="30"/>
      <c r="E98" s="30"/>
    </row>
    <row r="99" spans="1:5" ht="18" customHeight="1" x14ac:dyDescent="0.2">
      <c r="A99" s="49"/>
      <c r="B99" s="49"/>
      <c r="C99" s="50"/>
      <c r="D99" s="49"/>
      <c r="E99" s="49"/>
    </row>
    <row r="100" spans="1:5" ht="18" customHeight="1" x14ac:dyDescent="0.2">
      <c r="A100" s="30"/>
      <c r="B100" s="30"/>
      <c r="C100" s="31"/>
      <c r="D100" s="30"/>
      <c r="E100" s="30"/>
    </row>
    <row r="101" spans="1:5" ht="18" customHeight="1" x14ac:dyDescent="0.2">
      <c r="A101" s="49"/>
      <c r="B101" s="49"/>
      <c r="C101" s="50"/>
      <c r="D101" s="49"/>
      <c r="E101" s="49"/>
    </row>
    <row r="102" spans="1:5" ht="18" customHeight="1" x14ac:dyDescent="0.2">
      <c r="A102" s="30"/>
      <c r="B102" s="30"/>
      <c r="C102" s="31"/>
      <c r="D102" s="30"/>
      <c r="E102" s="30"/>
    </row>
    <row r="103" spans="1:5" ht="18" customHeight="1" x14ac:dyDescent="0.2">
      <c r="A103" s="49"/>
      <c r="B103" s="49"/>
      <c r="C103" s="50"/>
      <c r="D103" s="49"/>
      <c r="E103" s="49"/>
    </row>
    <row r="104" spans="1:5" ht="18" customHeight="1" x14ac:dyDescent="0.2">
      <c r="A104" s="30"/>
      <c r="B104" s="30"/>
      <c r="C104" s="31"/>
      <c r="D104" s="30"/>
      <c r="E104" s="30"/>
    </row>
    <row r="105" spans="1:5" ht="18" customHeight="1" x14ac:dyDescent="0.2">
      <c r="A105" s="49"/>
      <c r="B105" s="49"/>
      <c r="C105" s="50"/>
      <c r="D105" s="49"/>
      <c r="E105" s="49"/>
    </row>
    <row r="106" spans="1:5" ht="18" customHeight="1" x14ac:dyDescent="0.2">
      <c r="A106" s="30"/>
      <c r="B106" s="30"/>
      <c r="C106" s="31"/>
      <c r="D106" s="30"/>
      <c r="E106" s="30"/>
    </row>
    <row r="107" spans="1:5" ht="18" customHeight="1" x14ac:dyDescent="0.2">
      <c r="A107" s="49"/>
      <c r="B107" s="49"/>
      <c r="C107" s="50"/>
      <c r="D107" s="49"/>
      <c r="E107" s="49"/>
    </row>
    <row r="108" spans="1:5" ht="18" customHeight="1" x14ac:dyDescent="0.2">
      <c r="A108" s="30"/>
      <c r="B108" s="30"/>
      <c r="C108" s="31"/>
      <c r="D108" s="30"/>
      <c r="E108" s="30"/>
    </row>
    <row r="109" spans="1:5" ht="18" customHeight="1" x14ac:dyDescent="0.2">
      <c r="A109" s="49"/>
      <c r="B109" s="49"/>
      <c r="C109" s="50"/>
      <c r="D109" s="49"/>
      <c r="E109" s="49"/>
    </row>
    <row r="110" spans="1:5" ht="18" customHeight="1" x14ac:dyDescent="0.2">
      <c r="A110" s="30"/>
      <c r="B110" s="30"/>
      <c r="C110" s="31"/>
      <c r="D110" s="30"/>
      <c r="E110" s="30"/>
    </row>
    <row r="111" spans="1:5" ht="18" customHeight="1" x14ac:dyDescent="0.2">
      <c r="A111" s="49"/>
      <c r="B111" s="49"/>
      <c r="C111" s="50"/>
      <c r="D111" s="49"/>
      <c r="E111" s="49"/>
    </row>
    <row r="112" spans="1:5" ht="18" customHeight="1" x14ac:dyDescent="0.2">
      <c r="A112" s="30"/>
      <c r="B112" s="30"/>
      <c r="C112" s="31"/>
      <c r="D112" s="30"/>
      <c r="E112" s="30"/>
    </row>
    <row r="113" spans="1:5" ht="18" customHeight="1" x14ac:dyDescent="0.2">
      <c r="A113" s="49"/>
      <c r="B113" s="49"/>
      <c r="C113" s="50"/>
      <c r="D113" s="49"/>
      <c r="E113" s="49"/>
    </row>
    <row r="114" spans="1:5" ht="18" customHeight="1" x14ac:dyDescent="0.2">
      <c r="A114" s="30"/>
      <c r="B114" s="30"/>
      <c r="C114" s="31"/>
      <c r="D114" s="30"/>
      <c r="E114" s="30"/>
    </row>
    <row r="115" spans="1:5" ht="18" customHeight="1" x14ac:dyDescent="0.2">
      <c r="A115" s="49"/>
      <c r="B115" s="49"/>
      <c r="C115" s="50"/>
      <c r="D115" s="49"/>
      <c r="E115" s="49"/>
    </row>
    <row r="116" spans="1:5" ht="18" customHeight="1" x14ac:dyDescent="0.2">
      <c r="A116" s="30"/>
      <c r="B116" s="30"/>
      <c r="C116" s="31"/>
      <c r="D116" s="30"/>
      <c r="E116" s="30"/>
    </row>
    <row r="117" spans="1:5" ht="18" customHeight="1" x14ac:dyDescent="0.2">
      <c r="A117" s="49"/>
      <c r="B117" s="49"/>
      <c r="C117" s="50"/>
      <c r="D117" s="49"/>
      <c r="E117" s="49"/>
    </row>
    <row r="118" spans="1:5" ht="18" customHeight="1" x14ac:dyDescent="0.2">
      <c r="A118" s="30"/>
      <c r="B118" s="30"/>
      <c r="C118" s="31"/>
      <c r="D118" s="30"/>
      <c r="E118" s="30"/>
    </row>
    <row r="119" spans="1:5" ht="18" customHeight="1" x14ac:dyDescent="0.2">
      <c r="A119" s="49"/>
      <c r="B119" s="49"/>
      <c r="C119" s="50"/>
      <c r="D119" s="49"/>
      <c r="E119" s="49"/>
    </row>
    <row r="120" spans="1:5" ht="18" customHeight="1" x14ac:dyDescent="0.2">
      <c r="A120" s="30"/>
      <c r="B120" s="30"/>
      <c r="C120" s="31"/>
      <c r="D120" s="30"/>
      <c r="E120" s="30"/>
    </row>
    <row r="121" spans="1:5" ht="18" customHeight="1" x14ac:dyDescent="0.2">
      <c r="A121" s="49"/>
      <c r="B121" s="49"/>
      <c r="C121" s="50"/>
      <c r="D121" s="49"/>
      <c r="E121" s="49"/>
    </row>
    <row r="122" spans="1:5" ht="18" customHeight="1" x14ac:dyDescent="0.2">
      <c r="A122" s="30"/>
      <c r="B122" s="30"/>
      <c r="C122" s="31"/>
      <c r="D122" s="30"/>
      <c r="E122" s="30"/>
    </row>
    <row r="123" spans="1:5" ht="18" customHeight="1" x14ac:dyDescent="0.2">
      <c r="A123" s="49"/>
      <c r="B123" s="49"/>
      <c r="C123" s="50"/>
      <c r="D123" s="49"/>
      <c r="E123" s="49"/>
    </row>
    <row r="124" spans="1:5" ht="18" customHeight="1" x14ac:dyDescent="0.2">
      <c r="A124" s="30"/>
      <c r="B124" s="30"/>
      <c r="C124" s="31"/>
      <c r="D124" s="30"/>
      <c r="E124" s="30"/>
    </row>
    <row r="125" spans="1:5" ht="18" customHeight="1" x14ac:dyDescent="0.2">
      <c r="A125" s="49"/>
      <c r="B125" s="49"/>
      <c r="C125" s="50"/>
      <c r="D125" s="49"/>
      <c r="E125" s="49"/>
    </row>
    <row r="126" spans="1:5" ht="18" customHeight="1" x14ac:dyDescent="0.2">
      <c r="A126" s="30"/>
      <c r="B126" s="30"/>
      <c r="C126" s="31"/>
      <c r="D126" s="30"/>
      <c r="E126" s="30"/>
    </row>
    <row r="127" spans="1:5" ht="18" customHeight="1" x14ac:dyDescent="0.2">
      <c r="A127" s="49"/>
      <c r="B127" s="49"/>
      <c r="C127" s="50"/>
      <c r="D127" s="49"/>
      <c r="E127" s="49"/>
    </row>
    <row r="128" spans="1:5" ht="18" customHeight="1" x14ac:dyDescent="0.2">
      <c r="A128" s="30"/>
      <c r="B128" s="30"/>
      <c r="C128" s="31"/>
      <c r="D128" s="30"/>
      <c r="E128" s="30"/>
    </row>
    <row r="129" spans="1:5" ht="18" customHeight="1" x14ac:dyDescent="0.2">
      <c r="A129" s="49"/>
      <c r="B129" s="49"/>
      <c r="C129" s="50"/>
      <c r="D129" s="49"/>
      <c r="E129" s="49"/>
    </row>
    <row r="130" spans="1:5" ht="18" customHeight="1" x14ac:dyDescent="0.2">
      <c r="A130" s="30"/>
      <c r="B130" s="30"/>
      <c r="C130" s="31"/>
      <c r="D130" s="30"/>
      <c r="E130" s="30"/>
    </row>
    <row r="131" spans="1:5" ht="18" customHeight="1" x14ac:dyDescent="0.2">
      <c r="A131" s="49"/>
      <c r="B131" s="49"/>
      <c r="C131" s="50"/>
      <c r="D131" s="49"/>
      <c r="E131" s="49"/>
    </row>
    <row r="132" spans="1:5" ht="18" customHeight="1" x14ac:dyDescent="0.2">
      <c r="A132" s="30"/>
      <c r="B132" s="30"/>
      <c r="C132" s="31"/>
      <c r="D132" s="30"/>
      <c r="E132" s="30"/>
    </row>
    <row r="133" spans="1:5" ht="18" customHeight="1" x14ac:dyDescent="0.2">
      <c r="A133" s="49"/>
      <c r="B133" s="49"/>
      <c r="C133" s="50"/>
      <c r="D133" s="49"/>
      <c r="E133" s="49"/>
    </row>
    <row r="134" spans="1:5" ht="18" customHeight="1" x14ac:dyDescent="0.2">
      <c r="A134" s="30"/>
      <c r="B134" s="30"/>
      <c r="C134" s="31"/>
      <c r="D134" s="30"/>
      <c r="E134" s="30"/>
    </row>
    <row r="135" spans="1:5" ht="18" customHeight="1" x14ac:dyDescent="0.2">
      <c r="A135" s="49"/>
      <c r="B135" s="49"/>
      <c r="C135" s="50"/>
      <c r="D135" s="49"/>
      <c r="E135" s="49"/>
    </row>
    <row r="136" spans="1:5" ht="18" customHeight="1" x14ac:dyDescent="0.2">
      <c r="A136" s="30"/>
      <c r="B136" s="30"/>
      <c r="C136" s="31"/>
      <c r="D136" s="30"/>
      <c r="E136" s="30"/>
    </row>
    <row r="137" spans="1:5" ht="18" customHeight="1" x14ac:dyDescent="0.2">
      <c r="A137" s="49"/>
      <c r="B137" s="49"/>
      <c r="C137" s="50"/>
      <c r="D137" s="49"/>
      <c r="E137" s="49"/>
    </row>
    <row r="138" spans="1:5" ht="18" customHeight="1" x14ac:dyDescent="0.2">
      <c r="A138" s="30"/>
      <c r="B138" s="30"/>
      <c r="C138" s="31"/>
      <c r="D138" s="30"/>
      <c r="E138" s="30"/>
    </row>
    <row r="139" spans="1:5" ht="18" customHeight="1" x14ac:dyDescent="0.2">
      <c r="A139" s="49"/>
      <c r="B139" s="49"/>
      <c r="C139" s="50"/>
      <c r="D139" s="49"/>
      <c r="E139" s="49"/>
    </row>
    <row r="140" spans="1:5" ht="18" customHeight="1" x14ac:dyDescent="0.2">
      <c r="A140" s="30"/>
      <c r="B140" s="30"/>
      <c r="C140" s="31"/>
      <c r="D140" s="30"/>
      <c r="E140" s="30"/>
    </row>
    <row r="141" spans="1:5" ht="18" customHeight="1" x14ac:dyDescent="0.2">
      <c r="A141" s="49"/>
      <c r="B141" s="49"/>
      <c r="C141" s="50"/>
      <c r="D141" s="49"/>
      <c r="E141" s="49"/>
    </row>
    <row r="142" spans="1:5" ht="18" customHeight="1" x14ac:dyDescent="0.2">
      <c r="A142" s="30"/>
      <c r="B142" s="30"/>
      <c r="C142" s="31"/>
      <c r="D142" s="30"/>
      <c r="E142" s="30"/>
    </row>
    <row r="143" spans="1:5" ht="18" customHeight="1" x14ac:dyDescent="0.2">
      <c r="A143" s="49"/>
      <c r="B143" s="49"/>
      <c r="C143" s="50"/>
      <c r="D143" s="49"/>
      <c r="E143" s="49"/>
    </row>
    <row r="144" spans="1:5" ht="18" customHeight="1" x14ac:dyDescent="0.2">
      <c r="A144" s="30"/>
      <c r="B144" s="30"/>
      <c r="C144" s="31"/>
      <c r="D144" s="30"/>
      <c r="E144" s="30"/>
    </row>
    <row r="145" spans="1:5" ht="18" customHeight="1" x14ac:dyDescent="0.2">
      <c r="A145" s="49"/>
      <c r="B145" s="49"/>
      <c r="C145" s="50"/>
      <c r="D145" s="49"/>
      <c r="E145" s="49"/>
    </row>
    <row r="146" spans="1:5" ht="18" customHeight="1" x14ac:dyDescent="0.2">
      <c r="A146" s="30"/>
      <c r="B146" s="30"/>
      <c r="C146" s="31"/>
      <c r="D146" s="30"/>
      <c r="E146" s="30"/>
    </row>
    <row r="147" spans="1:5" ht="18" customHeight="1" x14ac:dyDescent="0.2">
      <c r="A147" s="49"/>
      <c r="B147" s="49"/>
      <c r="C147" s="50"/>
      <c r="D147" s="49"/>
      <c r="E147" s="49"/>
    </row>
    <row r="148" spans="1:5" ht="18" customHeight="1" x14ac:dyDescent="0.2">
      <c r="A148" s="30"/>
      <c r="B148" s="30"/>
      <c r="C148" s="31"/>
      <c r="D148" s="30"/>
      <c r="E148" s="30"/>
    </row>
    <row r="149" spans="1:5" ht="18" customHeight="1" x14ac:dyDescent="0.2">
      <c r="A149" s="49"/>
      <c r="B149" s="49"/>
      <c r="C149" s="50"/>
      <c r="D149" s="49"/>
      <c r="E149" s="49"/>
    </row>
    <row r="150" spans="1:5" ht="18" customHeight="1" x14ac:dyDescent="0.2">
      <c r="A150" s="30"/>
      <c r="B150" s="30"/>
      <c r="C150" s="31"/>
      <c r="D150" s="30"/>
      <c r="E150" s="30"/>
    </row>
    <row r="151" spans="1:5" ht="18" customHeight="1" x14ac:dyDescent="0.2">
      <c r="A151" s="49"/>
      <c r="B151" s="49"/>
      <c r="C151" s="50"/>
      <c r="D151" s="49"/>
      <c r="E151" s="49"/>
    </row>
    <row r="152" spans="1:5" ht="18" customHeight="1" x14ac:dyDescent="0.2">
      <c r="A152" s="30"/>
      <c r="B152" s="30"/>
      <c r="C152" s="31"/>
      <c r="D152" s="30"/>
      <c r="E152" s="30"/>
    </row>
    <row r="153" spans="1:5" ht="18" customHeight="1" x14ac:dyDescent="0.2">
      <c r="A153" s="49"/>
      <c r="B153" s="49"/>
      <c r="C153" s="50"/>
      <c r="D153" s="49"/>
      <c r="E153" s="49"/>
    </row>
    <row r="154" spans="1:5" ht="18" customHeight="1" x14ac:dyDescent="0.2">
      <c r="A154" s="30"/>
      <c r="B154" s="30"/>
      <c r="C154" s="31"/>
      <c r="D154" s="30"/>
      <c r="E154" s="30"/>
    </row>
    <row r="155" spans="1:5" ht="18" customHeight="1" x14ac:dyDescent="0.2">
      <c r="A155" s="49"/>
      <c r="B155" s="49"/>
      <c r="C155" s="50"/>
      <c r="D155" s="49"/>
      <c r="E155" s="49"/>
    </row>
    <row r="156" spans="1:5" ht="18" customHeight="1" x14ac:dyDescent="0.2">
      <c r="A156" s="30"/>
      <c r="B156" s="30"/>
      <c r="C156" s="31"/>
      <c r="D156" s="30"/>
      <c r="E156" s="30"/>
    </row>
    <row r="157" spans="1:5" ht="18" customHeight="1" x14ac:dyDescent="0.2">
      <c r="A157" s="49"/>
      <c r="B157" s="49"/>
      <c r="C157" s="50"/>
      <c r="D157" s="49"/>
      <c r="E157" s="49"/>
    </row>
    <row r="158" spans="1:5" ht="18" customHeight="1" x14ac:dyDescent="0.2">
      <c r="A158" s="30"/>
      <c r="B158" s="30"/>
      <c r="C158" s="31"/>
      <c r="D158" s="30"/>
      <c r="E158" s="30"/>
    </row>
    <row r="159" spans="1:5" ht="18" customHeight="1" x14ac:dyDescent="0.2">
      <c r="A159" s="49"/>
      <c r="B159" s="49"/>
      <c r="C159" s="50"/>
      <c r="D159" s="49"/>
      <c r="E159" s="49"/>
    </row>
    <row r="160" spans="1:5" ht="18" customHeight="1" x14ac:dyDescent="0.2">
      <c r="A160" s="30"/>
      <c r="B160" s="30"/>
      <c r="C160" s="31"/>
      <c r="D160" s="30"/>
      <c r="E160" s="30"/>
    </row>
    <row r="161" spans="1:5" ht="18" customHeight="1" x14ac:dyDescent="0.2">
      <c r="A161" s="49"/>
      <c r="B161" s="49"/>
      <c r="C161" s="50"/>
      <c r="D161" s="49"/>
      <c r="E161" s="49"/>
    </row>
    <row r="162" spans="1:5" ht="18" customHeight="1" x14ac:dyDescent="0.2">
      <c r="A162" s="30"/>
      <c r="B162" s="30"/>
      <c r="C162" s="31"/>
      <c r="D162" s="30"/>
      <c r="E162" s="30"/>
    </row>
    <row r="163" spans="1:5" ht="18" customHeight="1" x14ac:dyDescent="0.2">
      <c r="A163" s="49"/>
      <c r="B163" s="49"/>
      <c r="C163" s="50"/>
      <c r="D163" s="49"/>
      <c r="E163" s="49"/>
    </row>
    <row r="164" spans="1:5" ht="18" customHeight="1" x14ac:dyDescent="0.2">
      <c r="A164" s="30"/>
      <c r="B164" s="30"/>
      <c r="C164" s="31"/>
      <c r="D164" s="30"/>
      <c r="E164" s="30"/>
    </row>
    <row r="165" spans="1:5" ht="18" customHeight="1" x14ac:dyDescent="0.2">
      <c r="A165" s="49"/>
      <c r="B165" s="49"/>
      <c r="C165" s="50"/>
      <c r="D165" s="49"/>
      <c r="E165" s="49"/>
    </row>
    <row r="166" spans="1:5" ht="18" customHeight="1" x14ac:dyDescent="0.2">
      <c r="A166" s="30"/>
      <c r="B166" s="30"/>
      <c r="C166" s="31"/>
      <c r="D166" s="30"/>
      <c r="E166" s="30"/>
    </row>
    <row r="167" spans="1:5" ht="18" customHeight="1" x14ac:dyDescent="0.2">
      <c r="A167" s="49"/>
      <c r="B167" s="49"/>
      <c r="C167" s="50"/>
      <c r="D167" s="49"/>
      <c r="E167" s="49"/>
    </row>
    <row r="168" spans="1:5" ht="18" customHeight="1" x14ac:dyDescent="0.2">
      <c r="A168" s="30"/>
      <c r="B168" s="30"/>
      <c r="C168" s="31"/>
      <c r="D168" s="30"/>
      <c r="E168" s="30"/>
    </row>
    <row r="169" spans="1:5" ht="18" customHeight="1" x14ac:dyDescent="0.2">
      <c r="A169" s="49"/>
      <c r="B169" s="49"/>
      <c r="C169" s="50"/>
      <c r="D169" s="49"/>
      <c r="E169" s="49"/>
    </row>
    <row r="170" spans="1:5" ht="18" customHeight="1" x14ac:dyDescent="0.2">
      <c r="A170" s="30"/>
      <c r="B170" s="30"/>
      <c r="C170" s="31"/>
      <c r="D170" s="30"/>
      <c r="E170" s="30"/>
    </row>
    <row r="171" spans="1:5" ht="18" customHeight="1" x14ac:dyDescent="0.2">
      <c r="A171" s="49"/>
      <c r="B171" s="49"/>
      <c r="C171" s="50"/>
      <c r="D171" s="49"/>
      <c r="E171" s="49"/>
    </row>
    <row r="172" spans="1:5" ht="18" customHeight="1" x14ac:dyDescent="0.2">
      <c r="A172" s="30"/>
      <c r="B172" s="30"/>
      <c r="C172" s="31"/>
      <c r="D172" s="30"/>
      <c r="E172" s="30"/>
    </row>
    <row r="173" spans="1:5" ht="18" customHeight="1" x14ac:dyDescent="0.2">
      <c r="A173" s="49"/>
      <c r="B173" s="49"/>
      <c r="C173" s="50"/>
      <c r="D173" s="49"/>
      <c r="E173" s="49"/>
    </row>
    <row r="174" spans="1:5" ht="18" customHeight="1" x14ac:dyDescent="0.2">
      <c r="A174" s="30"/>
      <c r="B174" s="30"/>
      <c r="C174" s="31"/>
      <c r="D174" s="30"/>
      <c r="E174" s="30"/>
    </row>
    <row r="175" spans="1:5" ht="18" customHeight="1" x14ac:dyDescent="0.2">
      <c r="A175" s="49"/>
      <c r="B175" s="49"/>
      <c r="C175" s="50"/>
      <c r="D175" s="49"/>
      <c r="E175" s="49"/>
    </row>
    <row r="176" spans="1:5" ht="18" customHeight="1" x14ac:dyDescent="0.2">
      <c r="A176" s="30"/>
      <c r="B176" s="30"/>
      <c r="C176" s="31"/>
      <c r="D176" s="30"/>
      <c r="E176" s="30"/>
    </row>
    <row r="177" spans="1:5" ht="18" customHeight="1" x14ac:dyDescent="0.2">
      <c r="A177" s="49"/>
      <c r="B177" s="49"/>
      <c r="C177" s="50"/>
      <c r="D177" s="49"/>
      <c r="E177" s="49"/>
    </row>
    <row r="178" spans="1:5" ht="18" customHeight="1" x14ac:dyDescent="0.2">
      <c r="A178" s="30"/>
      <c r="B178" s="30"/>
      <c r="C178" s="31"/>
      <c r="D178" s="30"/>
      <c r="E178" s="30"/>
    </row>
    <row r="179" spans="1:5" ht="18" customHeight="1" x14ac:dyDescent="0.2">
      <c r="A179" s="49"/>
      <c r="B179" s="49"/>
      <c r="C179" s="50"/>
      <c r="D179" s="49"/>
      <c r="E179" s="49"/>
    </row>
    <row r="180" spans="1:5" ht="18" customHeight="1" x14ac:dyDescent="0.2">
      <c r="A180" s="30"/>
      <c r="B180" s="30"/>
      <c r="C180" s="31"/>
      <c r="D180" s="30"/>
      <c r="E180" s="30"/>
    </row>
    <row r="181" spans="1:5" ht="18" customHeight="1" x14ac:dyDescent="0.2">
      <c r="A181" s="49"/>
      <c r="B181" s="49"/>
      <c r="C181" s="50"/>
      <c r="D181" s="49"/>
      <c r="E181" s="49"/>
    </row>
    <row r="182" spans="1:5" ht="18" customHeight="1" x14ac:dyDescent="0.2">
      <c r="A182" s="30"/>
      <c r="B182" s="30"/>
      <c r="C182" s="31"/>
      <c r="D182" s="30"/>
      <c r="E182" s="30"/>
    </row>
    <row r="183" spans="1:5" ht="18" customHeight="1" x14ac:dyDescent="0.2">
      <c r="A183" s="49"/>
      <c r="B183" s="49"/>
      <c r="C183" s="50"/>
      <c r="D183" s="49"/>
      <c r="E183" s="49"/>
    </row>
    <row r="184" spans="1:5" ht="18" customHeight="1" x14ac:dyDescent="0.2">
      <c r="A184" s="30"/>
      <c r="B184" s="30"/>
      <c r="C184" s="31"/>
      <c r="D184" s="30"/>
      <c r="E184" s="30"/>
    </row>
    <row r="185" spans="1:5" ht="18" customHeight="1" x14ac:dyDescent="0.2">
      <c r="A185" s="49"/>
      <c r="B185" s="49"/>
      <c r="C185" s="50"/>
      <c r="D185" s="49"/>
      <c r="E185" s="49"/>
    </row>
    <row r="186" spans="1:5" ht="18" customHeight="1" x14ac:dyDescent="0.2">
      <c r="A186" s="30"/>
      <c r="B186" s="30"/>
      <c r="C186" s="31"/>
      <c r="D186" s="30"/>
      <c r="E186" s="30"/>
    </row>
    <row r="187" spans="1:5" ht="18" customHeight="1" x14ac:dyDescent="0.2">
      <c r="A187" s="49"/>
      <c r="B187" s="49"/>
      <c r="C187" s="50"/>
      <c r="D187" s="49"/>
      <c r="E187" s="49"/>
    </row>
    <row r="188" spans="1:5" ht="18" customHeight="1" x14ac:dyDescent="0.2">
      <c r="A188" s="30"/>
      <c r="B188" s="30"/>
      <c r="C188" s="31"/>
      <c r="D188" s="30"/>
      <c r="E188" s="30"/>
    </row>
    <row r="189" spans="1:5" ht="18" customHeight="1" x14ac:dyDescent="0.2">
      <c r="A189" s="49"/>
      <c r="B189" s="49"/>
      <c r="C189" s="50"/>
      <c r="D189" s="49"/>
      <c r="E189" s="49"/>
    </row>
    <row r="190" spans="1:5" ht="18" customHeight="1" x14ac:dyDescent="0.2">
      <c r="A190" s="30"/>
      <c r="B190" s="30"/>
      <c r="C190" s="31"/>
      <c r="D190" s="30"/>
      <c r="E190" s="30"/>
    </row>
    <row r="191" spans="1:5" ht="18" customHeight="1" x14ac:dyDescent="0.2">
      <c r="A191" s="49"/>
      <c r="B191" s="49"/>
      <c r="C191" s="50"/>
      <c r="D191" s="49"/>
      <c r="E191" s="49"/>
    </row>
    <row r="192" spans="1:5" ht="18" customHeight="1" x14ac:dyDescent="0.2">
      <c r="A192" s="30"/>
      <c r="B192" s="30"/>
      <c r="C192" s="31"/>
      <c r="D192" s="30"/>
      <c r="E192" s="30"/>
    </row>
    <row r="193" spans="1:5" ht="18" customHeight="1" x14ac:dyDescent="0.2">
      <c r="A193" s="49"/>
      <c r="B193" s="49"/>
      <c r="C193" s="50"/>
      <c r="D193" s="49"/>
      <c r="E193" s="49"/>
    </row>
    <row r="194" spans="1:5" ht="18" customHeight="1" x14ac:dyDescent="0.2">
      <c r="A194" s="30"/>
      <c r="B194" s="30"/>
      <c r="C194" s="31"/>
      <c r="D194" s="30"/>
      <c r="E194" s="30"/>
    </row>
    <row r="195" spans="1:5" ht="18" customHeight="1" x14ac:dyDescent="0.2">
      <c r="A195" s="49"/>
      <c r="B195" s="49"/>
      <c r="C195" s="50"/>
      <c r="D195" s="49"/>
      <c r="E195" s="49"/>
    </row>
    <row r="196" spans="1:5" ht="18" customHeight="1" x14ac:dyDescent="0.2">
      <c r="A196" s="30"/>
      <c r="B196" s="30"/>
      <c r="C196" s="31"/>
      <c r="D196" s="30"/>
      <c r="E196" s="30"/>
    </row>
    <row r="197" spans="1:5" ht="18" customHeight="1" x14ac:dyDescent="0.2">
      <c r="A197" s="49"/>
      <c r="B197" s="49"/>
      <c r="C197" s="50"/>
      <c r="D197" s="49"/>
      <c r="E197" s="49"/>
    </row>
    <row r="198" spans="1:5" ht="18" customHeight="1" x14ac:dyDescent="0.2">
      <c r="A198" s="30"/>
      <c r="B198" s="30"/>
      <c r="C198" s="31"/>
      <c r="D198" s="30"/>
      <c r="E198" s="30"/>
    </row>
    <row r="199" spans="1:5" ht="18" customHeight="1" x14ac:dyDescent="0.2">
      <c r="A199" s="49"/>
      <c r="B199" s="49"/>
      <c r="C199" s="50"/>
      <c r="D199" s="49"/>
      <c r="E199" s="49"/>
    </row>
    <row r="200" spans="1:5" ht="18" customHeight="1" x14ac:dyDescent="0.2">
      <c r="A200" s="30"/>
      <c r="B200" s="30"/>
      <c r="C200" s="31"/>
      <c r="D200" s="30"/>
      <c r="E200" s="30"/>
    </row>
    <row r="201" spans="1:5" ht="15" customHeight="1" x14ac:dyDescent="0.2">
      <c r="B201" s="3"/>
      <c r="C201" s="3"/>
    </row>
    <row r="202" spans="1:5" ht="15" customHeight="1" x14ac:dyDescent="0.2">
      <c r="B202" s="3"/>
      <c r="C202" s="3"/>
    </row>
    <row r="203" spans="1:5" ht="15" customHeight="1" x14ac:dyDescent="0.2">
      <c r="B203" s="3"/>
      <c r="C203" s="3"/>
    </row>
    <row r="204" spans="1:5" ht="15" customHeight="1" x14ac:dyDescent="0.2">
      <c r="B204" s="3"/>
      <c r="C204" s="3"/>
    </row>
    <row r="205" spans="1:5" ht="15" customHeight="1" x14ac:dyDescent="0.2">
      <c r="B205" s="3"/>
      <c r="C205" s="3"/>
    </row>
    <row r="206" spans="1:5" ht="15" customHeight="1" x14ac:dyDescent="0.2">
      <c r="B206" s="3"/>
      <c r="C206" s="3"/>
    </row>
    <row r="207" spans="1:5" ht="15" customHeight="1" x14ac:dyDescent="0.2">
      <c r="B207" s="3"/>
      <c r="C207" s="3"/>
    </row>
    <row r="208" spans="1:5" ht="15" customHeight="1" x14ac:dyDescent="0.2">
      <c r="B208" s="3"/>
      <c r="C208" s="3"/>
    </row>
    <row r="209" spans="2:3" ht="15" customHeight="1" x14ac:dyDescent="0.2">
      <c r="B209" s="3"/>
      <c r="C209" s="3"/>
    </row>
    <row r="210" spans="2:3" ht="15" customHeight="1" x14ac:dyDescent="0.2">
      <c r="B210" s="3"/>
      <c r="C210" s="3"/>
    </row>
    <row r="211" spans="2:3" ht="15" customHeight="1" x14ac:dyDescent="0.2">
      <c r="B211" s="3"/>
      <c r="C211" s="3"/>
    </row>
    <row r="212" spans="2:3" ht="15" customHeight="1" x14ac:dyDescent="0.2">
      <c r="B212" s="3"/>
      <c r="C212" s="3"/>
    </row>
    <row r="213" spans="2:3" ht="15" customHeight="1" x14ac:dyDescent="0.2">
      <c r="B213" s="3"/>
      <c r="C213" s="3"/>
    </row>
    <row r="214" spans="2:3" ht="15" customHeight="1" x14ac:dyDescent="0.2">
      <c r="B214" s="3"/>
      <c r="C214" s="3"/>
    </row>
    <row r="215" spans="2:3" ht="15" customHeight="1" x14ac:dyDescent="0.2">
      <c r="B215" s="3"/>
      <c r="C215" s="3"/>
    </row>
    <row r="216" spans="2:3" ht="15" customHeight="1" x14ac:dyDescent="0.2">
      <c r="B216" s="3"/>
      <c r="C216" s="3"/>
    </row>
    <row r="217" spans="2:3" ht="15" customHeight="1" x14ac:dyDescent="0.2">
      <c r="B217" s="3"/>
      <c r="C217" s="3"/>
    </row>
    <row r="218" spans="2:3" ht="15" customHeight="1" x14ac:dyDescent="0.2">
      <c r="B218" s="3"/>
      <c r="C218" s="3"/>
    </row>
    <row r="219" spans="2:3" ht="15" customHeight="1" x14ac:dyDescent="0.2">
      <c r="B219" s="3"/>
      <c r="C219" s="3"/>
    </row>
    <row r="220" spans="2:3" ht="15" customHeight="1" x14ac:dyDescent="0.2">
      <c r="B220" s="3"/>
      <c r="C220" s="3"/>
    </row>
    <row r="221" spans="2:3" ht="15" customHeight="1" x14ac:dyDescent="0.2">
      <c r="B221" s="3"/>
      <c r="C221" s="3"/>
    </row>
    <row r="222" spans="2:3" ht="15" customHeight="1" x14ac:dyDescent="0.2">
      <c r="B222" s="3"/>
      <c r="C222" s="3"/>
    </row>
    <row r="223" spans="2:3" ht="15" customHeight="1" x14ac:dyDescent="0.2">
      <c r="B223" s="3"/>
      <c r="C223" s="3"/>
    </row>
    <row r="224" spans="2:3" ht="15" customHeight="1" x14ac:dyDescent="0.2">
      <c r="B224" s="3"/>
      <c r="C224" s="3"/>
    </row>
    <row r="225" spans="2:3" ht="15" customHeight="1" x14ac:dyDescent="0.2">
      <c r="B225" s="3"/>
      <c r="C225" s="3"/>
    </row>
    <row r="226" spans="2:3" ht="15" customHeight="1" x14ac:dyDescent="0.2">
      <c r="B226" s="3"/>
      <c r="C226" s="3"/>
    </row>
    <row r="227" spans="2:3" ht="15" customHeight="1" x14ac:dyDescent="0.2">
      <c r="B227" s="3"/>
      <c r="C227" s="3"/>
    </row>
    <row r="228" spans="2:3" ht="15" customHeight="1" x14ac:dyDescent="0.2">
      <c r="B228" s="3"/>
      <c r="C228" s="3"/>
    </row>
    <row r="229" spans="2:3" ht="15" customHeight="1" x14ac:dyDescent="0.2">
      <c r="B229" s="3"/>
      <c r="C229" s="3"/>
    </row>
    <row r="230" spans="2:3" ht="15" customHeight="1" x14ac:dyDescent="0.2">
      <c r="B230" s="3"/>
      <c r="C230" s="3"/>
    </row>
    <row r="231" spans="2:3" ht="15" customHeight="1" x14ac:dyDescent="0.2">
      <c r="B231" s="3"/>
      <c r="C231" s="3"/>
    </row>
    <row r="232" spans="2:3" ht="15" customHeight="1" x14ac:dyDescent="0.2">
      <c r="B232" s="3"/>
      <c r="C232" s="3"/>
    </row>
    <row r="233" spans="2:3" ht="15" customHeight="1" x14ac:dyDescent="0.2">
      <c r="B233" s="3"/>
      <c r="C233" s="3"/>
    </row>
    <row r="234" spans="2:3" ht="15" customHeight="1" x14ac:dyDescent="0.2">
      <c r="B234" s="3"/>
      <c r="C234" s="3"/>
    </row>
    <row r="235" spans="2:3" ht="15" customHeight="1" x14ac:dyDescent="0.2">
      <c r="B235" s="3"/>
      <c r="C235" s="3"/>
    </row>
    <row r="236" spans="2:3" ht="15" customHeight="1" x14ac:dyDescent="0.2">
      <c r="B236" s="3"/>
      <c r="C236" s="3"/>
    </row>
    <row r="237" spans="2:3" ht="15" customHeight="1" x14ac:dyDescent="0.2">
      <c r="B237" s="3"/>
      <c r="C237" s="3"/>
    </row>
    <row r="238" spans="2:3" ht="15" customHeight="1" x14ac:dyDescent="0.2">
      <c r="B238" s="3"/>
      <c r="C238" s="3"/>
    </row>
    <row r="239" spans="2:3" ht="15" customHeight="1" x14ac:dyDescent="0.2">
      <c r="B239" s="3"/>
      <c r="C239" s="3"/>
    </row>
    <row r="240" spans="2:3" ht="15" customHeight="1" x14ac:dyDescent="0.2">
      <c r="B240" s="3"/>
      <c r="C240" s="3"/>
    </row>
    <row r="241" spans="2:3" ht="15" customHeight="1" x14ac:dyDescent="0.2">
      <c r="B241" s="3"/>
      <c r="C241" s="3"/>
    </row>
    <row r="242" spans="2:3" ht="15" customHeight="1" x14ac:dyDescent="0.2">
      <c r="B242" s="3"/>
      <c r="C242" s="3"/>
    </row>
    <row r="243" spans="2:3" ht="15" customHeight="1" x14ac:dyDescent="0.2">
      <c r="B243" s="3"/>
      <c r="C243" s="3"/>
    </row>
    <row r="244" spans="2:3" ht="15" customHeight="1" x14ac:dyDescent="0.2">
      <c r="B244" s="3"/>
      <c r="C244" s="3"/>
    </row>
    <row r="245" spans="2:3" ht="15" customHeight="1" x14ac:dyDescent="0.2">
      <c r="B245" s="3"/>
      <c r="C245" s="3"/>
    </row>
    <row r="246" spans="2:3" ht="15" customHeight="1" x14ac:dyDescent="0.2">
      <c r="B246" s="3"/>
      <c r="C246" s="3"/>
    </row>
    <row r="247" spans="2:3" ht="15" customHeight="1" x14ac:dyDescent="0.2">
      <c r="B247" s="3"/>
      <c r="C247" s="3"/>
    </row>
    <row r="248" spans="2:3" ht="15" customHeight="1" x14ac:dyDescent="0.2">
      <c r="B248" s="3"/>
      <c r="C248" s="3"/>
    </row>
    <row r="249" spans="2:3" ht="15" customHeight="1" x14ac:dyDescent="0.2">
      <c r="B249" s="3"/>
      <c r="C249" s="3"/>
    </row>
    <row r="250" spans="2:3" ht="15" customHeight="1" x14ac:dyDescent="0.2">
      <c r="B250" s="3"/>
      <c r="C250" s="3"/>
    </row>
    <row r="251" spans="2:3" ht="15" customHeight="1" x14ac:dyDescent="0.2">
      <c r="B251" s="3"/>
      <c r="C251" s="3"/>
    </row>
    <row r="252" spans="2:3" ht="15" customHeight="1" x14ac:dyDescent="0.2">
      <c r="B252" s="3"/>
      <c r="C252" s="3"/>
    </row>
    <row r="253" spans="2:3" ht="15" customHeight="1" x14ac:dyDescent="0.2">
      <c r="B253" s="3"/>
      <c r="C253" s="3"/>
    </row>
    <row r="254" spans="2:3" ht="15" customHeight="1" x14ac:dyDescent="0.2">
      <c r="B254" s="3"/>
      <c r="C254" s="3"/>
    </row>
    <row r="255" spans="2:3" ht="15" customHeight="1" x14ac:dyDescent="0.2">
      <c r="B255" s="3"/>
      <c r="C255" s="3"/>
    </row>
    <row r="256" spans="2:3" ht="15" customHeight="1" x14ac:dyDescent="0.2">
      <c r="B256" s="3"/>
      <c r="C256" s="3"/>
    </row>
    <row r="257" spans="2:3" ht="15" customHeight="1" x14ac:dyDescent="0.2">
      <c r="B257" s="3"/>
      <c r="C257" s="3"/>
    </row>
    <row r="258" spans="2:3" ht="15" customHeight="1" x14ac:dyDescent="0.2">
      <c r="B258" s="3"/>
      <c r="C258" s="3"/>
    </row>
    <row r="259" spans="2:3" ht="15" customHeight="1" x14ac:dyDescent="0.2">
      <c r="B259" s="3"/>
      <c r="C259" s="3"/>
    </row>
    <row r="260" spans="2:3" ht="15" customHeight="1" x14ac:dyDescent="0.2">
      <c r="B260" s="3"/>
      <c r="C260" s="3"/>
    </row>
    <row r="261" spans="2:3" ht="15" customHeight="1" x14ac:dyDescent="0.2">
      <c r="B261" s="3"/>
      <c r="C261" s="3"/>
    </row>
    <row r="262" spans="2:3" ht="15" customHeight="1" x14ac:dyDescent="0.2">
      <c r="B262" s="3"/>
      <c r="C262" s="3"/>
    </row>
    <row r="263" spans="2:3" ht="15" customHeight="1" x14ac:dyDescent="0.2">
      <c r="B263" s="3"/>
      <c r="C263" s="3"/>
    </row>
    <row r="264" spans="2:3" ht="15" customHeight="1" x14ac:dyDescent="0.2">
      <c r="B264" s="3"/>
      <c r="C264" s="3"/>
    </row>
    <row r="265" spans="2:3" ht="15" customHeight="1" x14ac:dyDescent="0.2">
      <c r="B265" s="3"/>
      <c r="C265" s="3"/>
    </row>
    <row r="266" spans="2:3" ht="15" customHeight="1" x14ac:dyDescent="0.2">
      <c r="B266" s="3"/>
      <c r="C266" s="3"/>
    </row>
    <row r="267" spans="2:3" ht="15" customHeight="1" x14ac:dyDescent="0.2">
      <c r="B267" s="3"/>
      <c r="C267" s="3"/>
    </row>
    <row r="268" spans="2:3" ht="15" customHeight="1" x14ac:dyDescent="0.2">
      <c r="B268" s="3"/>
      <c r="C268" s="3"/>
    </row>
    <row r="269" spans="2:3" ht="15" customHeight="1" x14ac:dyDescent="0.2">
      <c r="B269" s="3"/>
      <c r="C269" s="3"/>
    </row>
    <row r="270" spans="2:3" ht="15" customHeight="1" x14ac:dyDescent="0.2">
      <c r="B270" s="3"/>
      <c r="C270" s="3"/>
    </row>
    <row r="271" spans="2:3" ht="15" customHeight="1" x14ac:dyDescent="0.2">
      <c r="B271" s="3"/>
      <c r="C271" s="3"/>
    </row>
    <row r="272" spans="2:3" ht="15" customHeight="1" x14ac:dyDescent="0.2">
      <c r="B272" s="3"/>
      <c r="C272" s="3"/>
    </row>
    <row r="273" spans="2:3" ht="15" customHeight="1" x14ac:dyDescent="0.2">
      <c r="B273" s="3"/>
      <c r="C273" s="3"/>
    </row>
    <row r="274" spans="2:3" ht="15" customHeight="1" x14ac:dyDescent="0.2">
      <c r="B274" s="3"/>
      <c r="C274" s="3"/>
    </row>
    <row r="275" spans="2:3" ht="15" customHeight="1" x14ac:dyDescent="0.2">
      <c r="B275" s="3"/>
      <c r="C275" s="3"/>
    </row>
    <row r="276" spans="2:3" ht="15" customHeight="1" x14ac:dyDescent="0.2">
      <c r="B276" s="3"/>
      <c r="C276" s="3"/>
    </row>
    <row r="277" spans="2:3" ht="15" customHeight="1" x14ac:dyDescent="0.2">
      <c r="B277" s="3"/>
      <c r="C277" s="3"/>
    </row>
    <row r="278" spans="2:3" ht="15" customHeight="1" x14ac:dyDescent="0.2">
      <c r="B278" s="3"/>
      <c r="C278" s="3"/>
    </row>
    <row r="279" spans="2:3" ht="15" customHeight="1" x14ac:dyDescent="0.2">
      <c r="B279" s="3"/>
      <c r="C279" s="3"/>
    </row>
    <row r="280" spans="2:3" ht="15" customHeight="1" x14ac:dyDescent="0.2">
      <c r="B280" s="3"/>
      <c r="C280" s="3"/>
    </row>
    <row r="281" spans="2:3" ht="15" customHeight="1" x14ac:dyDescent="0.2">
      <c r="B281" s="3"/>
      <c r="C281" s="3"/>
    </row>
    <row r="282" spans="2:3" ht="15" customHeight="1" x14ac:dyDescent="0.2">
      <c r="B282" s="3"/>
      <c r="C282" s="3"/>
    </row>
    <row r="283" spans="2:3" ht="15" customHeight="1" x14ac:dyDescent="0.2">
      <c r="B283" s="3"/>
      <c r="C283" s="3"/>
    </row>
    <row r="284" spans="2:3" ht="15" customHeight="1" x14ac:dyDescent="0.2">
      <c r="B284" s="3"/>
      <c r="C284" s="3"/>
    </row>
    <row r="285" spans="2:3" ht="15" customHeight="1" x14ac:dyDescent="0.2">
      <c r="B285" s="3"/>
      <c r="C285" s="3"/>
    </row>
    <row r="286" spans="2:3" ht="15" customHeight="1" x14ac:dyDescent="0.2">
      <c r="B286" s="3"/>
      <c r="C286" s="3"/>
    </row>
    <row r="287" spans="2:3" ht="15" customHeight="1" x14ac:dyDescent="0.2">
      <c r="B287" s="3"/>
      <c r="C287" s="3"/>
    </row>
    <row r="288" spans="2:3" ht="15" customHeight="1" x14ac:dyDescent="0.2">
      <c r="B288" s="3"/>
      <c r="C288" s="3"/>
    </row>
    <row r="289" spans="2:3" ht="15" customHeight="1" x14ac:dyDescent="0.2">
      <c r="B289" s="3"/>
      <c r="C289" s="3"/>
    </row>
    <row r="290" spans="2:3" ht="15" customHeight="1" x14ac:dyDescent="0.2">
      <c r="B290" s="3"/>
      <c r="C290" s="3"/>
    </row>
    <row r="291" spans="2:3" ht="15" customHeight="1" x14ac:dyDescent="0.2">
      <c r="B291" s="3"/>
      <c r="C291" s="3"/>
    </row>
    <row r="292" spans="2:3" ht="15" customHeight="1" x14ac:dyDescent="0.2">
      <c r="B292" s="3"/>
      <c r="C292" s="3"/>
    </row>
    <row r="293" spans="2:3" ht="15" customHeight="1" x14ac:dyDescent="0.2">
      <c r="B293" s="3"/>
      <c r="C293" s="3"/>
    </row>
    <row r="294" spans="2:3" ht="15" customHeight="1" x14ac:dyDescent="0.2">
      <c r="B294" s="3"/>
      <c r="C294" s="3"/>
    </row>
    <row r="295" spans="2:3" ht="15" customHeight="1" x14ac:dyDescent="0.2">
      <c r="B295" s="3"/>
      <c r="C295" s="3"/>
    </row>
    <row r="296" spans="2:3" ht="15" customHeight="1" x14ac:dyDescent="0.2">
      <c r="B296" s="3"/>
      <c r="C296" s="3"/>
    </row>
    <row r="297" spans="2:3" ht="15" customHeight="1" x14ac:dyDescent="0.2">
      <c r="B297" s="3"/>
      <c r="C297" s="3"/>
    </row>
    <row r="298" spans="2:3" ht="15" customHeight="1" x14ac:dyDescent="0.2">
      <c r="B298" s="3"/>
      <c r="C298" s="3"/>
    </row>
    <row r="299" spans="2:3" ht="15" customHeight="1" x14ac:dyDescent="0.2">
      <c r="B299" s="3"/>
      <c r="C299" s="3"/>
    </row>
    <row r="300" spans="2:3" ht="15" customHeight="1" x14ac:dyDescent="0.2">
      <c r="B300" s="3"/>
      <c r="C300" s="3"/>
    </row>
    <row r="301" spans="2:3" ht="15" customHeight="1" x14ac:dyDescent="0.2">
      <c r="B301" s="3"/>
      <c r="C301" s="3"/>
    </row>
    <row r="302" spans="2:3" ht="15" customHeight="1" x14ac:dyDescent="0.2">
      <c r="B302" s="3"/>
      <c r="C302" s="3"/>
    </row>
    <row r="303" spans="2:3" ht="15" customHeight="1" x14ac:dyDescent="0.2">
      <c r="B303" s="3"/>
      <c r="C303" s="3"/>
    </row>
    <row r="304" spans="2:3" ht="15" customHeight="1" x14ac:dyDescent="0.2">
      <c r="B304" s="3"/>
      <c r="C304" s="3"/>
    </row>
    <row r="305" spans="2:3" ht="15" customHeight="1" x14ac:dyDescent="0.2">
      <c r="B305" s="3"/>
      <c r="C305" s="3"/>
    </row>
    <row r="306" spans="2:3" ht="15" customHeight="1" x14ac:dyDescent="0.2">
      <c r="B306" s="3"/>
      <c r="C306" s="3"/>
    </row>
    <row r="307" spans="2:3" ht="15" customHeight="1" x14ac:dyDescent="0.2">
      <c r="B307" s="3"/>
      <c r="C307" s="3"/>
    </row>
    <row r="308" spans="2:3" ht="15" customHeight="1" x14ac:dyDescent="0.2">
      <c r="B308" s="3"/>
      <c r="C308" s="3"/>
    </row>
    <row r="309" spans="2:3" ht="15" customHeight="1" x14ac:dyDescent="0.2">
      <c r="B309" s="3"/>
      <c r="C309" s="3"/>
    </row>
    <row r="310" spans="2:3" ht="15" customHeight="1" x14ac:dyDescent="0.2">
      <c r="B310" s="3"/>
      <c r="C310" s="3"/>
    </row>
    <row r="311" spans="2:3" ht="15" customHeight="1" x14ac:dyDescent="0.2">
      <c r="B311" s="3"/>
      <c r="C311" s="3"/>
    </row>
    <row r="312" spans="2:3" ht="15" customHeight="1" x14ac:dyDescent="0.2">
      <c r="B312" s="3"/>
      <c r="C312" s="3"/>
    </row>
    <row r="313" spans="2:3" ht="15" customHeight="1" x14ac:dyDescent="0.2">
      <c r="B313" s="3"/>
      <c r="C313" s="3"/>
    </row>
    <row r="314" spans="2:3" ht="15" customHeight="1" x14ac:dyDescent="0.2">
      <c r="B314" s="3"/>
      <c r="C314" s="3"/>
    </row>
    <row r="315" spans="2:3" ht="15" customHeight="1" x14ac:dyDescent="0.2">
      <c r="B315" s="3"/>
      <c r="C315" s="3"/>
    </row>
    <row r="316" spans="2:3" ht="15" customHeight="1" x14ac:dyDescent="0.2">
      <c r="B316" s="3"/>
      <c r="C316" s="3"/>
    </row>
    <row r="317" spans="2:3" ht="15" customHeight="1" x14ac:dyDescent="0.2">
      <c r="B317" s="3"/>
      <c r="C317" s="3"/>
    </row>
    <row r="318" spans="2:3" ht="15" customHeight="1" x14ac:dyDescent="0.2">
      <c r="B318" s="3"/>
      <c r="C318" s="3"/>
    </row>
    <row r="319" spans="2:3" ht="15" customHeight="1" x14ac:dyDescent="0.2">
      <c r="B319" s="3"/>
      <c r="C319" s="3"/>
    </row>
    <row r="320" spans="2:3" ht="15" customHeight="1" x14ac:dyDescent="0.2">
      <c r="B320" s="3"/>
      <c r="C320" s="3"/>
    </row>
    <row r="321" spans="2:3" ht="15" customHeight="1" x14ac:dyDescent="0.2">
      <c r="B321" s="3"/>
      <c r="C321" s="3"/>
    </row>
    <row r="322" spans="2:3" ht="15" customHeight="1" x14ac:dyDescent="0.2">
      <c r="B322" s="3"/>
      <c r="C322" s="3"/>
    </row>
    <row r="323" spans="2:3" ht="15" customHeight="1" x14ac:dyDescent="0.2">
      <c r="B323" s="3"/>
      <c r="C323" s="3"/>
    </row>
    <row r="324" spans="2:3" ht="15" customHeight="1" x14ac:dyDescent="0.2">
      <c r="B324" s="3"/>
      <c r="C324" s="3"/>
    </row>
    <row r="325" spans="2:3" ht="15" customHeight="1" x14ac:dyDescent="0.2">
      <c r="B325" s="3"/>
      <c r="C325" s="3"/>
    </row>
    <row r="326" spans="2:3" ht="15" customHeight="1" x14ac:dyDescent="0.2">
      <c r="B326" s="3"/>
      <c r="C326" s="3"/>
    </row>
    <row r="327" spans="2:3" ht="15" customHeight="1" x14ac:dyDescent="0.2">
      <c r="B327" s="3"/>
      <c r="C327" s="3"/>
    </row>
    <row r="328" spans="2:3" ht="15" customHeight="1" x14ac:dyDescent="0.2">
      <c r="B328" s="3"/>
      <c r="C328" s="3"/>
    </row>
    <row r="329" spans="2:3" ht="15" customHeight="1" x14ac:dyDescent="0.2">
      <c r="B329" s="3"/>
      <c r="C329" s="3"/>
    </row>
    <row r="330" spans="2:3" ht="15" customHeight="1" x14ac:dyDescent="0.2">
      <c r="B330" s="3"/>
      <c r="C330" s="3"/>
    </row>
    <row r="331" spans="2:3" ht="15" customHeight="1" x14ac:dyDescent="0.2">
      <c r="B331" s="3"/>
      <c r="C331" s="3"/>
    </row>
    <row r="332" spans="2:3" ht="15" customHeight="1" x14ac:dyDescent="0.2">
      <c r="B332" s="3"/>
      <c r="C332" s="3"/>
    </row>
    <row r="333" spans="2:3" ht="15" customHeight="1" x14ac:dyDescent="0.2">
      <c r="B333" s="3"/>
      <c r="C333" s="3"/>
    </row>
    <row r="334" spans="2:3" ht="15" customHeight="1" x14ac:dyDescent="0.2">
      <c r="B334" s="3"/>
      <c r="C334" s="3"/>
    </row>
    <row r="335" spans="2:3" ht="15" customHeight="1" x14ac:dyDescent="0.2">
      <c r="B335" s="3"/>
      <c r="C335" s="3"/>
    </row>
    <row r="336" spans="2:3" ht="15" customHeight="1" x14ac:dyDescent="0.2">
      <c r="B336" s="3"/>
      <c r="C336" s="3"/>
    </row>
    <row r="337" spans="2:3" ht="15" customHeight="1" x14ac:dyDescent="0.2">
      <c r="B337" s="3"/>
      <c r="C337" s="3"/>
    </row>
    <row r="338" spans="2:3" ht="15" customHeight="1" x14ac:dyDescent="0.2">
      <c r="B338" s="3"/>
      <c r="C338" s="3"/>
    </row>
    <row r="339" spans="2:3" ht="15" customHeight="1" x14ac:dyDescent="0.2">
      <c r="B339" s="3"/>
      <c r="C339" s="3"/>
    </row>
    <row r="340" spans="2:3" ht="15" customHeight="1" x14ac:dyDescent="0.2">
      <c r="B340" s="3"/>
      <c r="C340" s="3"/>
    </row>
    <row r="341" spans="2:3" ht="15" customHeight="1" x14ac:dyDescent="0.2">
      <c r="B341" s="3"/>
      <c r="C341" s="3"/>
    </row>
    <row r="342" spans="2:3" ht="15" customHeight="1" x14ac:dyDescent="0.2">
      <c r="B342" s="3"/>
      <c r="C342" s="3"/>
    </row>
    <row r="343" spans="2:3" ht="15" customHeight="1" x14ac:dyDescent="0.2">
      <c r="B343" s="3"/>
      <c r="C343" s="3"/>
    </row>
    <row r="344" spans="2:3" ht="15" customHeight="1" x14ac:dyDescent="0.2">
      <c r="B344" s="3"/>
      <c r="C344" s="3"/>
    </row>
    <row r="345" spans="2:3" ht="15" customHeight="1" x14ac:dyDescent="0.2">
      <c r="B345" s="3"/>
      <c r="C345" s="3"/>
    </row>
    <row r="346" spans="2:3" ht="15" customHeight="1" x14ac:dyDescent="0.2">
      <c r="B346" s="3"/>
      <c r="C346" s="3"/>
    </row>
    <row r="347" spans="2:3" ht="15" customHeight="1" x14ac:dyDescent="0.2">
      <c r="B347" s="3"/>
      <c r="C347" s="3"/>
    </row>
    <row r="348" spans="2:3" ht="15" customHeight="1" x14ac:dyDescent="0.2">
      <c r="B348" s="3"/>
      <c r="C348" s="3"/>
    </row>
    <row r="349" spans="2:3" ht="15" customHeight="1" x14ac:dyDescent="0.2">
      <c r="B349" s="3"/>
      <c r="C349" s="3"/>
    </row>
    <row r="350" spans="2:3" ht="15" customHeight="1" x14ac:dyDescent="0.2">
      <c r="B350" s="3"/>
      <c r="C350" s="3"/>
    </row>
    <row r="351" spans="2:3" ht="15" customHeight="1" x14ac:dyDescent="0.2">
      <c r="B351" s="3"/>
      <c r="C351" s="3"/>
    </row>
    <row r="352" spans="2:3" ht="15" customHeight="1" x14ac:dyDescent="0.2">
      <c r="B352" s="3"/>
      <c r="C352" s="3"/>
    </row>
    <row r="353" spans="2:3" ht="15" customHeight="1" x14ac:dyDescent="0.2">
      <c r="B353" s="3"/>
      <c r="C353" s="3"/>
    </row>
    <row r="354" spans="2:3" ht="15" customHeight="1" x14ac:dyDescent="0.2">
      <c r="B354" s="3"/>
      <c r="C354" s="3"/>
    </row>
    <row r="355" spans="2:3" ht="15" customHeight="1" x14ac:dyDescent="0.2">
      <c r="B355" s="3"/>
      <c r="C355" s="3"/>
    </row>
    <row r="356" spans="2:3" ht="15" customHeight="1" x14ac:dyDescent="0.2">
      <c r="B356" s="3"/>
      <c r="C356" s="3"/>
    </row>
    <row r="357" spans="2:3" ht="15" customHeight="1" x14ac:dyDescent="0.2">
      <c r="B357" s="3"/>
      <c r="C357" s="3"/>
    </row>
    <row r="358" spans="2:3" ht="15" customHeight="1" x14ac:dyDescent="0.2">
      <c r="B358" s="3"/>
      <c r="C358" s="3"/>
    </row>
    <row r="359" spans="2:3" ht="15" customHeight="1" x14ac:dyDescent="0.2">
      <c r="B359" s="3"/>
      <c r="C359" s="3"/>
    </row>
    <row r="360" spans="2:3" ht="15" customHeight="1" x14ac:dyDescent="0.2">
      <c r="B360" s="3"/>
      <c r="C360" s="3"/>
    </row>
    <row r="361" spans="2:3" ht="15" customHeight="1" x14ac:dyDescent="0.2">
      <c r="B361" s="3"/>
      <c r="C361" s="3"/>
    </row>
    <row r="362" spans="2:3" ht="15" customHeight="1" x14ac:dyDescent="0.2">
      <c r="B362" s="3"/>
      <c r="C362" s="3"/>
    </row>
    <row r="363" spans="2:3" ht="15" customHeight="1" x14ac:dyDescent="0.2">
      <c r="B363" s="3"/>
      <c r="C363" s="3"/>
    </row>
    <row r="364" spans="2:3" ht="15" customHeight="1" x14ac:dyDescent="0.2">
      <c r="B364" s="3"/>
      <c r="C364" s="3"/>
    </row>
    <row r="365" spans="2:3" ht="15" customHeight="1" x14ac:dyDescent="0.2">
      <c r="B365" s="3"/>
      <c r="C365" s="3"/>
    </row>
    <row r="366" spans="2:3" ht="15" customHeight="1" x14ac:dyDescent="0.2">
      <c r="B366" s="3"/>
      <c r="C366" s="3"/>
    </row>
    <row r="367" spans="2:3" ht="15" customHeight="1" x14ac:dyDescent="0.2">
      <c r="B367" s="3"/>
      <c r="C367" s="3"/>
    </row>
    <row r="368" spans="2:3" ht="15" customHeight="1" x14ac:dyDescent="0.2">
      <c r="B368" s="3"/>
      <c r="C368" s="3"/>
    </row>
    <row r="369" spans="2:3" ht="15" customHeight="1" x14ac:dyDescent="0.2">
      <c r="B369" s="3"/>
      <c r="C369" s="3"/>
    </row>
    <row r="370" spans="2:3" ht="15" customHeight="1" x14ac:dyDescent="0.2">
      <c r="B370" s="3"/>
      <c r="C370" s="3"/>
    </row>
    <row r="371" spans="2:3" ht="15" customHeight="1" x14ac:dyDescent="0.2">
      <c r="B371" s="3"/>
      <c r="C371" s="3"/>
    </row>
    <row r="372" spans="2:3" ht="15" customHeight="1" x14ac:dyDescent="0.2">
      <c r="B372" s="3"/>
      <c r="C372" s="3"/>
    </row>
    <row r="373" spans="2:3" ht="15" customHeight="1" x14ac:dyDescent="0.2">
      <c r="B373" s="3"/>
      <c r="C373" s="3"/>
    </row>
    <row r="374" spans="2:3" ht="15" customHeight="1" x14ac:dyDescent="0.2">
      <c r="B374" s="3"/>
      <c r="C374" s="3"/>
    </row>
    <row r="375" spans="2:3" ht="15" customHeight="1" x14ac:dyDescent="0.2">
      <c r="B375" s="3"/>
      <c r="C375" s="3"/>
    </row>
    <row r="376" spans="2:3" ht="15" customHeight="1" x14ac:dyDescent="0.2">
      <c r="B376" s="3"/>
      <c r="C376" s="3"/>
    </row>
    <row r="377" spans="2:3" ht="15" customHeight="1" x14ac:dyDescent="0.2">
      <c r="B377" s="3"/>
      <c r="C377" s="3"/>
    </row>
    <row r="378" spans="2:3" ht="15" customHeight="1" x14ac:dyDescent="0.2">
      <c r="B378" s="3"/>
      <c r="C378" s="3"/>
    </row>
    <row r="379" spans="2:3" ht="15" customHeight="1" x14ac:dyDescent="0.2">
      <c r="B379" s="3"/>
      <c r="C379" s="3"/>
    </row>
    <row r="380" spans="2:3" ht="15" customHeight="1" x14ac:dyDescent="0.2">
      <c r="B380" s="3"/>
      <c r="C380" s="3"/>
    </row>
    <row r="381" spans="2:3" ht="15" customHeight="1" x14ac:dyDescent="0.2">
      <c r="B381" s="3"/>
      <c r="C381" s="3"/>
    </row>
    <row r="382" spans="2:3" ht="15" customHeight="1" x14ac:dyDescent="0.2">
      <c r="B382" s="3"/>
      <c r="C382" s="3"/>
    </row>
    <row r="383" spans="2:3" ht="15" customHeight="1" x14ac:dyDescent="0.2">
      <c r="B383" s="3"/>
      <c r="C383" s="3"/>
    </row>
    <row r="384" spans="2:3" ht="15" customHeight="1" x14ac:dyDescent="0.2">
      <c r="B384" s="3"/>
      <c r="C384" s="3"/>
    </row>
    <row r="385" spans="2:3" ht="15" customHeight="1" x14ac:dyDescent="0.2">
      <c r="B385" s="3"/>
      <c r="C385" s="3"/>
    </row>
    <row r="386" spans="2:3" ht="15" customHeight="1" x14ac:dyDescent="0.2">
      <c r="B386" s="3"/>
      <c r="C386" s="3"/>
    </row>
    <row r="387" spans="2:3" ht="15" customHeight="1" x14ac:dyDescent="0.2">
      <c r="B387" s="3"/>
      <c r="C387" s="3"/>
    </row>
    <row r="388" spans="2:3" ht="15" customHeight="1" x14ac:dyDescent="0.2">
      <c r="B388" s="3"/>
      <c r="C388" s="3"/>
    </row>
    <row r="389" spans="2:3" ht="15" customHeight="1" x14ac:dyDescent="0.2">
      <c r="B389" s="3"/>
      <c r="C389" s="3"/>
    </row>
    <row r="390" spans="2:3" ht="15" customHeight="1" x14ac:dyDescent="0.2">
      <c r="B390" s="3"/>
      <c r="C390" s="3"/>
    </row>
    <row r="391" spans="2:3" ht="15" customHeight="1" x14ac:dyDescent="0.2">
      <c r="B391" s="3"/>
      <c r="C391" s="3"/>
    </row>
    <row r="392" spans="2:3" ht="15" customHeight="1" x14ac:dyDescent="0.2">
      <c r="B392" s="3"/>
      <c r="C392" s="3"/>
    </row>
    <row r="393" spans="2:3" ht="15" customHeight="1" x14ac:dyDescent="0.2">
      <c r="B393" s="3"/>
      <c r="C393" s="3"/>
    </row>
    <row r="394" spans="2:3" ht="15" customHeight="1" x14ac:dyDescent="0.2">
      <c r="B394" s="3"/>
      <c r="C394" s="3"/>
    </row>
    <row r="395" spans="2:3" ht="15" customHeight="1" x14ac:dyDescent="0.2">
      <c r="B395" s="3"/>
      <c r="C395" s="3"/>
    </row>
    <row r="396" spans="2:3" ht="15" customHeight="1" x14ac:dyDescent="0.2">
      <c r="B396" s="3"/>
      <c r="C396" s="3"/>
    </row>
    <row r="397" spans="2:3" ht="15" customHeight="1" x14ac:dyDescent="0.2">
      <c r="B397" s="3"/>
      <c r="C397" s="3"/>
    </row>
    <row r="398" spans="2:3" ht="15" customHeight="1" x14ac:dyDescent="0.2">
      <c r="B398" s="3"/>
      <c r="C398" s="3"/>
    </row>
    <row r="399" spans="2:3" ht="15" customHeight="1" x14ac:dyDescent="0.2">
      <c r="B399" s="3"/>
      <c r="C399" s="3"/>
    </row>
    <row r="400" spans="2:3" ht="15" customHeight="1" x14ac:dyDescent="0.2">
      <c r="B400" s="3"/>
      <c r="C400" s="3"/>
    </row>
    <row r="401" spans="2:3" ht="15" customHeight="1" x14ac:dyDescent="0.2">
      <c r="B401" s="3"/>
      <c r="C401" s="3"/>
    </row>
    <row r="402" spans="2:3" ht="15" customHeight="1" x14ac:dyDescent="0.2">
      <c r="B402" s="3"/>
      <c r="C402" s="3"/>
    </row>
    <row r="403" spans="2:3" ht="15" customHeight="1" x14ac:dyDescent="0.2">
      <c r="B403" s="3"/>
      <c r="C403" s="3"/>
    </row>
    <row r="404" spans="2:3" ht="15" customHeight="1" x14ac:dyDescent="0.2">
      <c r="B404" s="3"/>
      <c r="C404" s="3"/>
    </row>
    <row r="405" spans="2:3" ht="15" customHeight="1" x14ac:dyDescent="0.2">
      <c r="B405" s="3"/>
      <c r="C405" s="3"/>
    </row>
    <row r="406" spans="2:3" ht="15" customHeight="1" x14ac:dyDescent="0.2">
      <c r="B406" s="3"/>
      <c r="C406" s="3"/>
    </row>
    <row r="407" spans="2:3" ht="15" customHeight="1" x14ac:dyDescent="0.2">
      <c r="B407" s="3"/>
      <c r="C407" s="3"/>
    </row>
    <row r="408" spans="2:3" ht="15" customHeight="1" x14ac:dyDescent="0.2">
      <c r="B408" s="3"/>
      <c r="C408" s="3"/>
    </row>
    <row r="409" spans="2:3" ht="15" customHeight="1" x14ac:dyDescent="0.2">
      <c r="B409" s="3"/>
      <c r="C409" s="3"/>
    </row>
    <row r="410" spans="2:3" ht="15" customHeight="1" x14ac:dyDescent="0.2">
      <c r="B410" s="3"/>
      <c r="C410" s="3"/>
    </row>
    <row r="411" spans="2:3" ht="15" customHeight="1" x14ac:dyDescent="0.2">
      <c r="B411" s="3"/>
      <c r="C411" s="3"/>
    </row>
    <row r="412" spans="2:3" ht="15" customHeight="1" x14ac:dyDescent="0.2">
      <c r="B412" s="3"/>
      <c r="C412" s="3"/>
    </row>
    <row r="413" spans="2:3" ht="15" customHeight="1" x14ac:dyDescent="0.2">
      <c r="B413" s="3"/>
      <c r="C413" s="3"/>
    </row>
    <row r="414" spans="2:3" ht="15" customHeight="1" x14ac:dyDescent="0.2">
      <c r="B414" s="3"/>
      <c r="C414" s="3"/>
    </row>
    <row r="415" spans="2:3" ht="15" customHeight="1" x14ac:dyDescent="0.2">
      <c r="B415" s="3"/>
      <c r="C415" s="3"/>
    </row>
    <row r="416" spans="2:3" ht="15" customHeight="1" x14ac:dyDescent="0.2">
      <c r="B416" s="3"/>
      <c r="C416" s="3"/>
    </row>
    <row r="417" spans="2:3" ht="15" customHeight="1" x14ac:dyDescent="0.2">
      <c r="B417" s="3"/>
      <c r="C417" s="3"/>
    </row>
    <row r="418" spans="2:3" ht="15" customHeight="1" x14ac:dyDescent="0.2">
      <c r="B418" s="3"/>
      <c r="C418" s="3"/>
    </row>
    <row r="419" spans="2:3" ht="15" customHeight="1" x14ac:dyDescent="0.2">
      <c r="B419" s="3"/>
      <c r="C419" s="3"/>
    </row>
    <row r="420" spans="2:3" ht="15" customHeight="1" x14ac:dyDescent="0.2">
      <c r="B420" s="3"/>
      <c r="C420" s="3"/>
    </row>
    <row r="421" spans="2:3" ht="15" customHeight="1" x14ac:dyDescent="0.2">
      <c r="B421" s="3"/>
      <c r="C421" s="3"/>
    </row>
    <row r="422" spans="2:3" ht="15" customHeight="1" x14ac:dyDescent="0.2">
      <c r="B422" s="3"/>
      <c r="C422" s="3"/>
    </row>
    <row r="423" spans="2:3" ht="15" customHeight="1" x14ac:dyDescent="0.2">
      <c r="B423" s="3"/>
      <c r="C423" s="3"/>
    </row>
    <row r="424" spans="2:3" ht="15" customHeight="1" x14ac:dyDescent="0.2">
      <c r="B424" s="3"/>
      <c r="C424" s="3"/>
    </row>
    <row r="425" spans="2:3" ht="15" customHeight="1" x14ac:dyDescent="0.2">
      <c r="B425" s="3"/>
      <c r="C425" s="3"/>
    </row>
    <row r="426" spans="2:3" ht="15" customHeight="1" x14ac:dyDescent="0.2">
      <c r="B426" s="3"/>
      <c r="C426" s="3"/>
    </row>
    <row r="427" spans="2:3" ht="15" customHeight="1" x14ac:dyDescent="0.2">
      <c r="B427" s="3"/>
      <c r="C427" s="3"/>
    </row>
    <row r="428" spans="2:3" ht="15" customHeight="1" x14ac:dyDescent="0.2">
      <c r="B428" s="3"/>
      <c r="C428" s="3"/>
    </row>
    <row r="429" spans="2:3" ht="15" customHeight="1" x14ac:dyDescent="0.2">
      <c r="B429" s="3"/>
      <c r="C429" s="3"/>
    </row>
    <row r="430" spans="2:3" ht="15" customHeight="1" x14ac:dyDescent="0.2">
      <c r="B430" s="3"/>
      <c r="C430" s="3"/>
    </row>
    <row r="431" spans="2:3" ht="15" customHeight="1" x14ac:dyDescent="0.2">
      <c r="B431" s="3"/>
      <c r="C431" s="3"/>
    </row>
    <row r="432" spans="2:3" ht="15" customHeight="1" x14ac:dyDescent="0.2">
      <c r="B432" s="3"/>
      <c r="C432" s="3"/>
    </row>
    <row r="433" spans="2:3" ht="15" customHeight="1" x14ac:dyDescent="0.2">
      <c r="B433" s="3"/>
      <c r="C433" s="3"/>
    </row>
    <row r="434" spans="2:3" ht="15" customHeight="1" x14ac:dyDescent="0.2">
      <c r="B434" s="3"/>
      <c r="C434" s="3"/>
    </row>
    <row r="435" spans="2:3" ht="15" customHeight="1" x14ac:dyDescent="0.2">
      <c r="B435" s="3"/>
      <c r="C435" s="3"/>
    </row>
    <row r="436" spans="2:3" ht="15" customHeight="1" x14ac:dyDescent="0.2">
      <c r="B436" s="3"/>
      <c r="C436" s="3"/>
    </row>
    <row r="437" spans="2:3" ht="15" customHeight="1" x14ac:dyDescent="0.2">
      <c r="B437" s="3"/>
      <c r="C437" s="3"/>
    </row>
    <row r="438" spans="2:3" ht="15" customHeight="1" x14ac:dyDescent="0.2">
      <c r="B438" s="3"/>
      <c r="C438" s="3"/>
    </row>
    <row r="439" spans="2:3" ht="15" customHeight="1" x14ac:dyDescent="0.2">
      <c r="B439" s="3"/>
      <c r="C439" s="3"/>
    </row>
    <row r="440" spans="2:3" ht="15" customHeight="1" x14ac:dyDescent="0.2">
      <c r="B440" s="3"/>
      <c r="C440" s="3"/>
    </row>
    <row r="441" spans="2:3" ht="15" customHeight="1" x14ac:dyDescent="0.2">
      <c r="B441" s="3"/>
      <c r="C441" s="3"/>
    </row>
    <row r="442" spans="2:3" ht="15" customHeight="1" x14ac:dyDescent="0.2">
      <c r="B442" s="3"/>
      <c r="C442" s="3"/>
    </row>
    <row r="443" spans="2:3" ht="15" customHeight="1" x14ac:dyDescent="0.2">
      <c r="B443" s="3"/>
      <c r="C443" s="3"/>
    </row>
    <row r="444" spans="2:3" ht="15" customHeight="1" x14ac:dyDescent="0.2">
      <c r="B444" s="3"/>
      <c r="C444" s="3"/>
    </row>
    <row r="445" spans="2:3" ht="15" customHeight="1" x14ac:dyDescent="0.2">
      <c r="B445" s="3"/>
      <c r="C445" s="3"/>
    </row>
    <row r="446" spans="2:3" ht="15" customHeight="1" x14ac:dyDescent="0.2">
      <c r="B446" s="3"/>
      <c r="C446" s="3"/>
    </row>
    <row r="447" spans="2:3" ht="15" customHeight="1" x14ac:dyDescent="0.2">
      <c r="B447" s="3"/>
      <c r="C447" s="3"/>
    </row>
    <row r="448" spans="2:3" ht="15" customHeight="1" x14ac:dyDescent="0.2">
      <c r="B448" s="3"/>
      <c r="C448" s="3"/>
    </row>
    <row r="449" spans="2:3" ht="15" customHeight="1" x14ac:dyDescent="0.2">
      <c r="B449" s="3"/>
      <c r="C449" s="3"/>
    </row>
    <row r="450" spans="2:3" ht="15" customHeight="1" x14ac:dyDescent="0.2">
      <c r="B450" s="3"/>
      <c r="C450" s="3"/>
    </row>
    <row r="451" spans="2:3" ht="15" customHeight="1" x14ac:dyDescent="0.2">
      <c r="B451" s="3"/>
      <c r="C451" s="3"/>
    </row>
    <row r="452" spans="2:3" ht="15" customHeight="1" x14ac:dyDescent="0.2">
      <c r="B452" s="3"/>
      <c r="C452" s="3"/>
    </row>
    <row r="453" spans="2:3" ht="15" customHeight="1" x14ac:dyDescent="0.2">
      <c r="B453" s="3"/>
      <c r="C453" s="3"/>
    </row>
    <row r="454" spans="2:3" ht="15" customHeight="1" x14ac:dyDescent="0.2">
      <c r="B454" s="3"/>
      <c r="C454" s="3"/>
    </row>
    <row r="455" spans="2:3" ht="15" customHeight="1" x14ac:dyDescent="0.2">
      <c r="B455" s="3"/>
      <c r="C455" s="3"/>
    </row>
    <row r="456" spans="2:3" ht="15" customHeight="1" x14ac:dyDescent="0.2">
      <c r="B456" s="3"/>
      <c r="C456" s="3"/>
    </row>
    <row r="457" spans="2:3" ht="15" customHeight="1" x14ac:dyDescent="0.2">
      <c r="B457" s="3"/>
      <c r="C457" s="3"/>
    </row>
    <row r="458" spans="2:3" ht="15" customHeight="1" x14ac:dyDescent="0.2">
      <c r="B458" s="3"/>
      <c r="C458" s="3"/>
    </row>
    <row r="459" spans="2:3" ht="15" customHeight="1" x14ac:dyDescent="0.2">
      <c r="B459" s="3"/>
      <c r="C459" s="3"/>
    </row>
    <row r="460" spans="2:3" ht="15" customHeight="1" x14ac:dyDescent="0.2">
      <c r="B460" s="3"/>
      <c r="C460" s="3"/>
    </row>
    <row r="461" spans="2:3" ht="15" customHeight="1" x14ac:dyDescent="0.2">
      <c r="B461" s="3"/>
      <c r="C461" s="3"/>
    </row>
    <row r="462" spans="2:3" ht="15" customHeight="1" x14ac:dyDescent="0.2">
      <c r="B462" s="3"/>
      <c r="C462" s="3"/>
    </row>
    <row r="463" spans="2:3" ht="15" customHeight="1" x14ac:dyDescent="0.2">
      <c r="B463" s="3"/>
      <c r="C463" s="3"/>
    </row>
    <row r="464" spans="2:3" ht="15" customHeight="1" x14ac:dyDescent="0.2">
      <c r="B464" s="3"/>
      <c r="C464" s="3"/>
    </row>
    <row r="465" spans="2:3" ht="15" customHeight="1" x14ac:dyDescent="0.2">
      <c r="B465" s="3"/>
      <c r="C465" s="3"/>
    </row>
    <row r="466" spans="2:3" ht="15" customHeight="1" x14ac:dyDescent="0.2">
      <c r="B466" s="3"/>
      <c r="C466" s="3"/>
    </row>
    <row r="467" spans="2:3" ht="15" customHeight="1" x14ac:dyDescent="0.2">
      <c r="B467" s="3"/>
      <c r="C467" s="3"/>
    </row>
    <row r="468" spans="2:3" ht="15" customHeight="1" x14ac:dyDescent="0.2">
      <c r="B468" s="3"/>
      <c r="C468" s="3"/>
    </row>
    <row r="469" spans="2:3" ht="15" customHeight="1" x14ac:dyDescent="0.2">
      <c r="B469" s="3"/>
      <c r="C469" s="3"/>
    </row>
    <row r="470" spans="2:3" ht="15" customHeight="1" x14ac:dyDescent="0.2">
      <c r="B470" s="3"/>
      <c r="C470" s="3"/>
    </row>
    <row r="471" spans="2:3" ht="15" customHeight="1" x14ac:dyDescent="0.2">
      <c r="B471" s="3"/>
      <c r="C471" s="3"/>
    </row>
    <row r="472" spans="2:3" ht="15" customHeight="1" x14ac:dyDescent="0.2">
      <c r="B472" s="3"/>
      <c r="C472" s="3"/>
    </row>
    <row r="473" spans="2:3" ht="15" customHeight="1" x14ac:dyDescent="0.2">
      <c r="B473" s="3"/>
      <c r="C473" s="3"/>
    </row>
    <row r="474" spans="2:3" ht="15" customHeight="1" x14ac:dyDescent="0.2">
      <c r="B474" s="3"/>
      <c r="C474" s="3"/>
    </row>
    <row r="475" spans="2:3" ht="15" customHeight="1" x14ac:dyDescent="0.2">
      <c r="B475" s="3"/>
      <c r="C475" s="3"/>
    </row>
    <row r="476" spans="2:3" ht="15" customHeight="1" x14ac:dyDescent="0.2">
      <c r="B476" s="3"/>
      <c r="C476" s="3"/>
    </row>
    <row r="477" spans="2:3" ht="15" customHeight="1" x14ac:dyDescent="0.2">
      <c r="B477" s="3"/>
      <c r="C477" s="3"/>
    </row>
    <row r="478" spans="2:3" ht="15" customHeight="1" x14ac:dyDescent="0.2">
      <c r="B478" s="3"/>
      <c r="C478" s="3"/>
    </row>
    <row r="479" spans="2:3" ht="15" customHeight="1" x14ac:dyDescent="0.2">
      <c r="B479" s="3"/>
      <c r="C479" s="3"/>
    </row>
    <row r="480" spans="2:3" ht="15" customHeight="1" x14ac:dyDescent="0.2">
      <c r="B480" s="3"/>
      <c r="C480" s="3"/>
    </row>
    <row r="481" spans="2:3" ht="15" customHeight="1" x14ac:dyDescent="0.2">
      <c r="B481" s="3"/>
      <c r="C481" s="3"/>
    </row>
    <row r="482" spans="2:3" ht="15" customHeight="1" x14ac:dyDescent="0.2">
      <c r="B482" s="3"/>
      <c r="C482" s="3"/>
    </row>
    <row r="483" spans="2:3" ht="15" customHeight="1" x14ac:dyDescent="0.2">
      <c r="B483" s="3"/>
      <c r="C483" s="3"/>
    </row>
    <row r="484" spans="2:3" ht="15" customHeight="1" x14ac:dyDescent="0.2">
      <c r="B484" s="3"/>
      <c r="C484" s="3"/>
    </row>
    <row r="485" spans="2:3" ht="15" customHeight="1" x14ac:dyDescent="0.2">
      <c r="B485" s="3"/>
      <c r="C485" s="3"/>
    </row>
    <row r="486" spans="2:3" ht="15" customHeight="1" x14ac:dyDescent="0.2">
      <c r="B486" s="3"/>
      <c r="C486" s="3"/>
    </row>
    <row r="487" spans="2:3" ht="15" customHeight="1" x14ac:dyDescent="0.2">
      <c r="B487" s="3"/>
      <c r="C487" s="3"/>
    </row>
    <row r="488" spans="2:3" ht="15" customHeight="1" x14ac:dyDescent="0.2">
      <c r="B488" s="3"/>
      <c r="C488" s="3"/>
    </row>
    <row r="489" spans="2:3" ht="15" customHeight="1" x14ac:dyDescent="0.2">
      <c r="B489" s="3"/>
      <c r="C489" s="3"/>
    </row>
    <row r="490" spans="2:3" ht="15" customHeight="1" x14ac:dyDescent="0.2">
      <c r="B490" s="3"/>
      <c r="C490" s="3"/>
    </row>
    <row r="491" spans="2:3" ht="15" customHeight="1" x14ac:dyDescent="0.2">
      <c r="B491" s="3"/>
      <c r="C491" s="3"/>
    </row>
    <row r="492" spans="2:3" ht="15" customHeight="1" x14ac:dyDescent="0.2">
      <c r="B492" s="3"/>
      <c r="C492" s="3"/>
    </row>
    <row r="493" spans="2:3" ht="15" customHeight="1" x14ac:dyDescent="0.2">
      <c r="B493" s="3"/>
      <c r="C493" s="3"/>
    </row>
    <row r="494" spans="2:3" ht="15" customHeight="1" x14ac:dyDescent="0.2">
      <c r="B494" s="3"/>
      <c r="C494" s="3"/>
    </row>
    <row r="495" spans="2:3" ht="15" customHeight="1" x14ac:dyDescent="0.2">
      <c r="B495" s="3"/>
      <c r="C495" s="3"/>
    </row>
    <row r="496" spans="2:3" ht="15" customHeight="1" x14ac:dyDescent="0.2">
      <c r="B496" s="3"/>
      <c r="C496" s="3"/>
    </row>
    <row r="497" spans="2:3" ht="15" customHeight="1" x14ac:dyDescent="0.2">
      <c r="B497" s="3"/>
      <c r="C497" s="3"/>
    </row>
    <row r="498" spans="2:3" ht="15" customHeight="1" x14ac:dyDescent="0.2">
      <c r="B498" s="3"/>
      <c r="C498" s="3"/>
    </row>
    <row r="499" spans="2:3" ht="15" customHeight="1" x14ac:dyDescent="0.2">
      <c r="B499" s="3"/>
      <c r="C499" s="3"/>
    </row>
    <row r="500" spans="2:3" ht="15" customHeight="1" x14ac:dyDescent="0.2">
      <c r="B500" s="3"/>
      <c r="C500" s="3"/>
    </row>
    <row r="501" spans="2:3" ht="15" customHeight="1" x14ac:dyDescent="0.2">
      <c r="B501" s="3"/>
      <c r="C501" s="3"/>
    </row>
    <row r="502" spans="2:3" ht="15" customHeight="1" x14ac:dyDescent="0.2">
      <c r="B502" s="3"/>
      <c r="C502" s="3"/>
    </row>
    <row r="503" spans="2:3" ht="15" customHeight="1" x14ac:dyDescent="0.2">
      <c r="B503" s="3"/>
      <c r="C503" s="3"/>
    </row>
    <row r="504" spans="2:3" ht="15" customHeight="1" x14ac:dyDescent="0.2">
      <c r="B504" s="3"/>
      <c r="C504" s="3"/>
    </row>
    <row r="505" spans="2:3" ht="15" customHeight="1" x14ac:dyDescent="0.2">
      <c r="B505" s="3"/>
      <c r="C505" s="3"/>
    </row>
    <row r="506" spans="2:3" ht="15" customHeight="1" x14ac:dyDescent="0.2">
      <c r="B506" s="3"/>
      <c r="C506" s="3"/>
    </row>
    <row r="507" spans="2:3" ht="15" customHeight="1" x14ac:dyDescent="0.2">
      <c r="B507" s="3"/>
      <c r="C507" s="3"/>
    </row>
    <row r="508" spans="2:3" ht="15" customHeight="1" x14ac:dyDescent="0.2">
      <c r="B508" s="3"/>
      <c r="C508" s="3"/>
    </row>
    <row r="509" spans="2:3" ht="15" customHeight="1" x14ac:dyDescent="0.2">
      <c r="B509" s="3"/>
      <c r="C509" s="3"/>
    </row>
    <row r="510" spans="2:3" ht="15" customHeight="1" x14ac:dyDescent="0.2">
      <c r="B510" s="3"/>
      <c r="C510" s="3"/>
    </row>
    <row r="511" spans="2:3" ht="15" customHeight="1" x14ac:dyDescent="0.2">
      <c r="B511" s="3"/>
      <c r="C511" s="3"/>
    </row>
    <row r="512" spans="2:3" ht="15" customHeight="1" x14ac:dyDescent="0.2">
      <c r="B512" s="3"/>
      <c r="C512" s="3"/>
    </row>
    <row r="513" spans="2:3" ht="15" customHeight="1" x14ac:dyDescent="0.2">
      <c r="B513" s="3"/>
      <c r="C513" s="3"/>
    </row>
    <row r="514" spans="2:3" ht="15" customHeight="1" x14ac:dyDescent="0.2">
      <c r="B514" s="3"/>
      <c r="C514" s="3"/>
    </row>
    <row r="515" spans="2:3" ht="15" customHeight="1" x14ac:dyDescent="0.2">
      <c r="B515" s="3"/>
      <c r="C515" s="3"/>
    </row>
    <row r="516" spans="2:3" ht="15" customHeight="1" x14ac:dyDescent="0.2">
      <c r="B516" s="3"/>
      <c r="C516" s="3"/>
    </row>
    <row r="517" spans="2:3" ht="15" customHeight="1" x14ac:dyDescent="0.2">
      <c r="B517" s="3"/>
      <c r="C517" s="3"/>
    </row>
    <row r="518" spans="2:3" ht="15" customHeight="1" x14ac:dyDescent="0.2">
      <c r="B518" s="3"/>
      <c r="C518" s="3"/>
    </row>
    <row r="519" spans="2:3" ht="15" customHeight="1" x14ac:dyDescent="0.2">
      <c r="B519" s="3"/>
      <c r="C519" s="3"/>
    </row>
    <row r="520" spans="2:3" ht="15" customHeight="1" x14ac:dyDescent="0.2">
      <c r="B520" s="3"/>
      <c r="C520" s="3"/>
    </row>
    <row r="521" spans="2:3" ht="15" customHeight="1" x14ac:dyDescent="0.2">
      <c r="B521" s="3"/>
      <c r="C521" s="3"/>
    </row>
    <row r="522" spans="2:3" ht="15" customHeight="1" x14ac:dyDescent="0.2">
      <c r="B522" s="3"/>
      <c r="C522" s="3"/>
    </row>
    <row r="523" spans="2:3" ht="15" customHeight="1" x14ac:dyDescent="0.2">
      <c r="B523" s="3"/>
      <c r="C523" s="3"/>
    </row>
    <row r="524" spans="2:3" ht="15" customHeight="1" x14ac:dyDescent="0.2">
      <c r="B524" s="3"/>
      <c r="C524" s="3"/>
    </row>
    <row r="525" spans="2:3" ht="15" customHeight="1" x14ac:dyDescent="0.2">
      <c r="B525" s="3"/>
      <c r="C525" s="3"/>
    </row>
    <row r="526" spans="2:3" ht="15" customHeight="1" x14ac:dyDescent="0.2">
      <c r="B526" s="3"/>
      <c r="C526" s="3"/>
    </row>
    <row r="527" spans="2:3" ht="15" customHeight="1" x14ac:dyDescent="0.2">
      <c r="B527" s="3"/>
      <c r="C527" s="3"/>
    </row>
    <row r="528" spans="2:3" ht="15" customHeight="1" x14ac:dyDescent="0.2">
      <c r="B528" s="3"/>
      <c r="C528" s="3"/>
    </row>
    <row r="529" spans="2:3" ht="15" customHeight="1" x14ac:dyDescent="0.2">
      <c r="B529" s="3"/>
      <c r="C529" s="3"/>
    </row>
    <row r="530" spans="2:3" ht="15" customHeight="1" x14ac:dyDescent="0.2">
      <c r="B530" s="3"/>
      <c r="C530" s="3"/>
    </row>
    <row r="531" spans="2:3" ht="15" customHeight="1" x14ac:dyDescent="0.2">
      <c r="B531" s="3"/>
      <c r="C531" s="3"/>
    </row>
    <row r="532" spans="2:3" ht="15" customHeight="1" x14ac:dyDescent="0.2">
      <c r="B532" s="3"/>
      <c r="C532" s="3"/>
    </row>
    <row r="533" spans="2:3" ht="15" customHeight="1" x14ac:dyDescent="0.2">
      <c r="B533" s="3"/>
      <c r="C533" s="3"/>
    </row>
    <row r="534" spans="2:3" ht="15" customHeight="1" x14ac:dyDescent="0.2">
      <c r="B534" s="3"/>
      <c r="C534" s="3"/>
    </row>
    <row r="535" spans="2:3" ht="15" customHeight="1" x14ac:dyDescent="0.2">
      <c r="B535" s="3"/>
      <c r="C535" s="3"/>
    </row>
    <row r="536" spans="2:3" ht="15" customHeight="1" x14ac:dyDescent="0.2">
      <c r="B536" s="3"/>
      <c r="C536" s="3"/>
    </row>
    <row r="537" spans="2:3" ht="15" customHeight="1" x14ac:dyDescent="0.2">
      <c r="B537" s="3"/>
      <c r="C537" s="3"/>
    </row>
    <row r="538" spans="2:3" ht="15" customHeight="1" x14ac:dyDescent="0.2">
      <c r="B538" s="3"/>
      <c r="C538" s="3"/>
    </row>
    <row r="539" spans="2:3" ht="15" customHeight="1" x14ac:dyDescent="0.2">
      <c r="B539" s="3"/>
      <c r="C539" s="3"/>
    </row>
    <row r="540" spans="2:3" ht="15" customHeight="1" x14ac:dyDescent="0.2">
      <c r="B540" s="3"/>
      <c r="C540" s="3"/>
    </row>
    <row r="541" spans="2:3" ht="15" customHeight="1" x14ac:dyDescent="0.2">
      <c r="B541" s="3"/>
      <c r="C541" s="3"/>
    </row>
    <row r="542" spans="2:3" ht="15" customHeight="1" x14ac:dyDescent="0.2">
      <c r="B542" s="3"/>
      <c r="C542" s="3"/>
    </row>
    <row r="543" spans="2:3" ht="15" customHeight="1" x14ac:dyDescent="0.2">
      <c r="B543" s="3"/>
      <c r="C543" s="3"/>
    </row>
    <row r="544" spans="2:3" ht="15" customHeight="1" x14ac:dyDescent="0.2">
      <c r="B544" s="3"/>
      <c r="C544" s="3"/>
    </row>
    <row r="545" spans="2:3" ht="15" customHeight="1" x14ac:dyDescent="0.2">
      <c r="B545" s="3"/>
      <c r="C545" s="3"/>
    </row>
    <row r="546" spans="2:3" ht="15" customHeight="1" x14ac:dyDescent="0.2">
      <c r="B546" s="3"/>
      <c r="C546" s="3"/>
    </row>
    <row r="547" spans="2:3" ht="15" customHeight="1" x14ac:dyDescent="0.2">
      <c r="B547" s="3"/>
      <c r="C547" s="3"/>
    </row>
    <row r="548" spans="2:3" ht="15" customHeight="1" x14ac:dyDescent="0.2">
      <c r="B548" s="3"/>
      <c r="C548" s="3"/>
    </row>
    <row r="549" spans="2:3" ht="15" customHeight="1" x14ac:dyDescent="0.2">
      <c r="B549" s="3"/>
      <c r="C549" s="3"/>
    </row>
    <row r="550" spans="2:3" ht="15" customHeight="1" x14ac:dyDescent="0.2">
      <c r="B550" s="3"/>
      <c r="C550" s="3"/>
    </row>
    <row r="551" spans="2:3" ht="15" customHeight="1" x14ac:dyDescent="0.2">
      <c r="B551" s="3"/>
      <c r="C551" s="3"/>
    </row>
    <row r="552" spans="2:3" ht="15" customHeight="1" x14ac:dyDescent="0.2">
      <c r="B552" s="3"/>
      <c r="C552" s="3"/>
    </row>
    <row r="553" spans="2:3" ht="15" customHeight="1" x14ac:dyDescent="0.2">
      <c r="B553" s="3"/>
      <c r="C553" s="3"/>
    </row>
    <row r="554" spans="2:3" ht="15" customHeight="1" x14ac:dyDescent="0.2">
      <c r="B554" s="3"/>
      <c r="C554" s="3"/>
    </row>
    <row r="555" spans="2:3" ht="15" customHeight="1" x14ac:dyDescent="0.2">
      <c r="B555" s="3"/>
      <c r="C555" s="3"/>
    </row>
    <row r="556" spans="2:3" ht="15" customHeight="1" x14ac:dyDescent="0.2">
      <c r="B556" s="3"/>
      <c r="C556" s="3"/>
    </row>
    <row r="557" spans="2:3" ht="15" customHeight="1" x14ac:dyDescent="0.2">
      <c r="B557" s="3"/>
      <c r="C557" s="3"/>
    </row>
    <row r="558" spans="2:3" ht="15" customHeight="1" x14ac:dyDescent="0.2">
      <c r="B558" s="3"/>
      <c r="C558" s="3"/>
    </row>
    <row r="559" spans="2:3" ht="15" customHeight="1" x14ac:dyDescent="0.2">
      <c r="B559" s="3"/>
      <c r="C559" s="3"/>
    </row>
    <row r="560" spans="2:3" ht="15" customHeight="1" x14ac:dyDescent="0.2">
      <c r="B560" s="3"/>
      <c r="C560" s="3"/>
    </row>
    <row r="561" spans="2:3" ht="15" customHeight="1" x14ac:dyDescent="0.2">
      <c r="B561" s="3"/>
      <c r="C561" s="3"/>
    </row>
    <row r="562" spans="2:3" ht="15" customHeight="1" x14ac:dyDescent="0.2">
      <c r="B562" s="3"/>
      <c r="C562" s="3"/>
    </row>
    <row r="563" spans="2:3" ht="15" customHeight="1" x14ac:dyDescent="0.2">
      <c r="B563" s="3"/>
      <c r="C563" s="3"/>
    </row>
    <row r="564" spans="2:3" ht="15" customHeight="1" x14ac:dyDescent="0.2">
      <c r="B564" s="3"/>
      <c r="C564" s="3"/>
    </row>
    <row r="565" spans="2:3" ht="15" customHeight="1" x14ac:dyDescent="0.2">
      <c r="B565" s="3"/>
      <c r="C565" s="3"/>
    </row>
    <row r="566" spans="2:3" ht="15" customHeight="1" x14ac:dyDescent="0.2">
      <c r="B566" s="3"/>
      <c r="C566" s="3"/>
    </row>
    <row r="567" spans="2:3" ht="15" customHeight="1" x14ac:dyDescent="0.2">
      <c r="B567" s="3"/>
      <c r="C567" s="3"/>
    </row>
    <row r="568" spans="2:3" ht="15" customHeight="1" x14ac:dyDescent="0.2">
      <c r="B568" s="3"/>
      <c r="C568" s="3"/>
    </row>
    <row r="569" spans="2:3" ht="15" customHeight="1" x14ac:dyDescent="0.2">
      <c r="B569" s="3"/>
      <c r="C569" s="3"/>
    </row>
    <row r="570" spans="2:3" ht="15" customHeight="1" x14ac:dyDescent="0.2">
      <c r="B570" s="3"/>
      <c r="C570" s="3"/>
    </row>
    <row r="571" spans="2:3" ht="15" customHeight="1" x14ac:dyDescent="0.2">
      <c r="B571" s="3"/>
      <c r="C571" s="3"/>
    </row>
    <row r="572" spans="2:3" ht="15" customHeight="1" x14ac:dyDescent="0.2">
      <c r="B572" s="3"/>
      <c r="C572" s="3"/>
    </row>
    <row r="573" spans="2:3" ht="15" customHeight="1" x14ac:dyDescent="0.2">
      <c r="B573" s="3"/>
      <c r="C573" s="3"/>
    </row>
    <row r="574" spans="2:3" ht="15" customHeight="1" x14ac:dyDescent="0.2">
      <c r="B574" s="3"/>
      <c r="C574" s="3"/>
    </row>
    <row r="575" spans="2:3" ht="15" customHeight="1" x14ac:dyDescent="0.2">
      <c r="B575" s="3"/>
      <c r="C575" s="3"/>
    </row>
    <row r="576" spans="2:3" ht="15" customHeight="1" x14ac:dyDescent="0.2">
      <c r="B576" s="3"/>
      <c r="C576" s="3"/>
    </row>
    <row r="577" spans="2:3" ht="15" customHeight="1" x14ac:dyDescent="0.2">
      <c r="B577" s="3"/>
      <c r="C577" s="3"/>
    </row>
    <row r="578" spans="2:3" ht="15" customHeight="1" x14ac:dyDescent="0.2">
      <c r="B578" s="3"/>
      <c r="C578" s="3"/>
    </row>
    <row r="579" spans="2:3" ht="15" customHeight="1" x14ac:dyDescent="0.2">
      <c r="B579" s="3"/>
      <c r="C579" s="3"/>
    </row>
    <row r="580" spans="2:3" ht="15" customHeight="1" x14ac:dyDescent="0.2">
      <c r="B580" s="3"/>
      <c r="C580" s="3"/>
    </row>
    <row r="581" spans="2:3" ht="15" customHeight="1" x14ac:dyDescent="0.2">
      <c r="B581" s="3"/>
      <c r="C581" s="3"/>
    </row>
    <row r="582" spans="2:3" ht="15" customHeight="1" x14ac:dyDescent="0.2">
      <c r="B582" s="3"/>
      <c r="C582" s="3"/>
    </row>
    <row r="583" spans="2:3" ht="15" customHeight="1" x14ac:dyDescent="0.2">
      <c r="B583" s="3"/>
      <c r="C583" s="3"/>
    </row>
    <row r="584" spans="2:3" ht="15" customHeight="1" x14ac:dyDescent="0.2">
      <c r="B584" s="3"/>
      <c r="C584" s="3"/>
    </row>
    <row r="585" spans="2:3" ht="15" customHeight="1" x14ac:dyDescent="0.2">
      <c r="B585" s="3"/>
      <c r="C585" s="3"/>
    </row>
    <row r="586" spans="2:3" ht="15" customHeight="1" x14ac:dyDescent="0.2">
      <c r="B586" s="3"/>
      <c r="C586" s="3"/>
    </row>
    <row r="587" spans="2:3" ht="15" customHeight="1" x14ac:dyDescent="0.2">
      <c r="B587" s="3"/>
      <c r="C587" s="3"/>
    </row>
    <row r="588" spans="2:3" ht="15" customHeight="1" x14ac:dyDescent="0.2">
      <c r="B588" s="3"/>
      <c r="C588" s="3"/>
    </row>
    <row r="589" spans="2:3" ht="15" customHeight="1" x14ac:dyDescent="0.2">
      <c r="B589" s="3"/>
      <c r="C589" s="3"/>
    </row>
    <row r="590" spans="2:3" ht="15" customHeight="1" x14ac:dyDescent="0.2">
      <c r="B590" s="3"/>
      <c r="C590" s="3"/>
    </row>
    <row r="591" spans="2:3" ht="15" customHeight="1" x14ac:dyDescent="0.2">
      <c r="B591" s="3"/>
      <c r="C591" s="3"/>
    </row>
    <row r="592" spans="2:3" ht="15" customHeight="1" x14ac:dyDescent="0.2">
      <c r="B592" s="3"/>
      <c r="C592" s="3"/>
    </row>
    <row r="593" spans="2:3" ht="15" customHeight="1" x14ac:dyDescent="0.2">
      <c r="B593" s="3"/>
      <c r="C593" s="3"/>
    </row>
    <row r="594" spans="2:3" ht="15" customHeight="1" x14ac:dyDescent="0.2">
      <c r="B594" s="3"/>
      <c r="C594" s="3"/>
    </row>
    <row r="595" spans="2:3" ht="15" customHeight="1" x14ac:dyDescent="0.2">
      <c r="B595" s="3"/>
      <c r="C595" s="3"/>
    </row>
    <row r="596" spans="2:3" ht="15" customHeight="1" x14ac:dyDescent="0.2">
      <c r="B596" s="3"/>
      <c r="C596" s="3"/>
    </row>
    <row r="597" spans="2:3" ht="15" customHeight="1" x14ac:dyDescent="0.2">
      <c r="B597" s="3"/>
      <c r="C597" s="3"/>
    </row>
    <row r="598" spans="2:3" ht="15" customHeight="1" x14ac:dyDescent="0.2">
      <c r="B598" s="3"/>
      <c r="C598" s="3"/>
    </row>
    <row r="599" spans="2:3" ht="15" customHeight="1" x14ac:dyDescent="0.2">
      <c r="B599" s="3"/>
      <c r="C599" s="3"/>
    </row>
    <row r="600" spans="2:3" ht="15" customHeight="1" x14ac:dyDescent="0.2">
      <c r="B600" s="3"/>
      <c r="C600" s="3"/>
    </row>
    <row r="601" spans="2:3" ht="15" customHeight="1" x14ac:dyDescent="0.2">
      <c r="B601" s="3"/>
      <c r="C601" s="3"/>
    </row>
    <row r="602" spans="2:3" ht="15" customHeight="1" x14ac:dyDescent="0.2">
      <c r="B602" s="3"/>
      <c r="C602" s="3"/>
    </row>
    <row r="603" spans="2:3" ht="15" customHeight="1" x14ac:dyDescent="0.2">
      <c r="B603" s="3"/>
      <c r="C603" s="3"/>
    </row>
    <row r="604" spans="2:3" ht="15" customHeight="1" x14ac:dyDescent="0.2">
      <c r="B604" s="3"/>
      <c r="C604" s="3"/>
    </row>
    <row r="605" spans="2:3" ht="15" customHeight="1" x14ac:dyDescent="0.2">
      <c r="B605" s="3"/>
      <c r="C605" s="3"/>
    </row>
    <row r="606" spans="2:3" ht="15" customHeight="1" x14ac:dyDescent="0.2">
      <c r="B606" s="3"/>
      <c r="C606" s="3"/>
    </row>
    <row r="607" spans="2:3" ht="15" customHeight="1" x14ac:dyDescent="0.2">
      <c r="B607" s="3"/>
      <c r="C607" s="3"/>
    </row>
    <row r="608" spans="2:3" ht="15" customHeight="1" x14ac:dyDescent="0.2">
      <c r="B608" s="3"/>
      <c r="C608" s="3"/>
    </row>
    <row r="609" spans="2:3" ht="15" customHeight="1" x14ac:dyDescent="0.2">
      <c r="B609" s="3"/>
      <c r="C609" s="3"/>
    </row>
    <row r="610" spans="2:3" ht="15" customHeight="1" x14ac:dyDescent="0.2">
      <c r="B610" s="3"/>
      <c r="C610" s="3"/>
    </row>
    <row r="611" spans="2:3" ht="15" customHeight="1" x14ac:dyDescent="0.2">
      <c r="B611" s="3"/>
      <c r="C611" s="3"/>
    </row>
    <row r="612" spans="2:3" ht="15" customHeight="1" x14ac:dyDescent="0.2">
      <c r="B612" s="3"/>
      <c r="C612" s="3"/>
    </row>
    <row r="613" spans="2:3" ht="15" customHeight="1" x14ac:dyDescent="0.2">
      <c r="B613" s="3"/>
      <c r="C613" s="3"/>
    </row>
    <row r="614" spans="2:3" ht="15" customHeight="1" x14ac:dyDescent="0.2">
      <c r="B614" s="3"/>
      <c r="C614" s="3"/>
    </row>
    <row r="615" spans="2:3" ht="15" customHeight="1" x14ac:dyDescent="0.2">
      <c r="B615" s="3"/>
      <c r="C615" s="3"/>
    </row>
    <row r="616" spans="2:3" ht="15" customHeight="1" x14ac:dyDescent="0.2">
      <c r="B616" s="3"/>
      <c r="C616" s="3"/>
    </row>
    <row r="617" spans="2:3" ht="15" customHeight="1" x14ac:dyDescent="0.2">
      <c r="B617" s="3"/>
      <c r="C617" s="3"/>
    </row>
    <row r="618" spans="2:3" ht="15" customHeight="1" x14ac:dyDescent="0.2">
      <c r="B618" s="3"/>
      <c r="C618" s="3"/>
    </row>
    <row r="619" spans="2:3" ht="15" customHeight="1" x14ac:dyDescent="0.2">
      <c r="B619" s="3"/>
      <c r="C619" s="3"/>
    </row>
    <row r="620" spans="2:3" ht="15" customHeight="1" x14ac:dyDescent="0.2">
      <c r="B620" s="3"/>
      <c r="C620" s="3"/>
    </row>
    <row r="621" spans="2:3" ht="15" customHeight="1" x14ac:dyDescent="0.2">
      <c r="B621" s="3"/>
      <c r="C621" s="3"/>
    </row>
    <row r="622" spans="2:3" ht="15" customHeight="1" x14ac:dyDescent="0.2">
      <c r="B622" s="3"/>
      <c r="C622" s="3"/>
    </row>
    <row r="623" spans="2:3" ht="15" customHeight="1" x14ac:dyDescent="0.2">
      <c r="B623" s="3"/>
      <c r="C623" s="3"/>
    </row>
    <row r="624" spans="2:3" ht="15" customHeight="1" x14ac:dyDescent="0.2">
      <c r="B624" s="3"/>
      <c r="C624" s="3"/>
    </row>
    <row r="625" spans="2:3" ht="15" customHeight="1" x14ac:dyDescent="0.2">
      <c r="B625" s="3"/>
      <c r="C625" s="3"/>
    </row>
    <row r="626" spans="2:3" ht="15" customHeight="1" x14ac:dyDescent="0.2">
      <c r="B626" s="3"/>
      <c r="C626" s="3"/>
    </row>
    <row r="627" spans="2:3" ht="15" customHeight="1" x14ac:dyDescent="0.2">
      <c r="B627" s="3"/>
      <c r="C627" s="3"/>
    </row>
    <row r="628" spans="2:3" ht="15" customHeight="1" x14ac:dyDescent="0.2">
      <c r="B628" s="3"/>
      <c r="C628" s="3"/>
    </row>
    <row r="629" spans="2:3" ht="15" customHeight="1" x14ac:dyDescent="0.2">
      <c r="B629" s="3"/>
      <c r="C629" s="3"/>
    </row>
    <row r="630" spans="2:3" ht="15" customHeight="1" x14ac:dyDescent="0.2">
      <c r="B630" s="3"/>
      <c r="C630" s="3"/>
    </row>
    <row r="631" spans="2:3" ht="15" customHeight="1" x14ac:dyDescent="0.2">
      <c r="B631" s="3"/>
      <c r="C631" s="3"/>
    </row>
    <row r="632" spans="2:3" ht="15" customHeight="1" x14ac:dyDescent="0.2">
      <c r="B632" s="3"/>
      <c r="C632" s="3"/>
    </row>
    <row r="633" spans="2:3" ht="15" customHeight="1" x14ac:dyDescent="0.2">
      <c r="B633" s="3"/>
      <c r="C633" s="3"/>
    </row>
    <row r="634" spans="2:3" ht="15" customHeight="1" x14ac:dyDescent="0.2">
      <c r="B634" s="3"/>
      <c r="C634" s="3"/>
    </row>
    <row r="635" spans="2:3" ht="15" customHeight="1" x14ac:dyDescent="0.2">
      <c r="B635" s="3"/>
      <c r="C635" s="3"/>
    </row>
    <row r="636" spans="2:3" ht="15" customHeight="1" x14ac:dyDescent="0.2">
      <c r="B636" s="3"/>
      <c r="C636" s="3"/>
    </row>
    <row r="637" spans="2:3" ht="15" customHeight="1" x14ac:dyDescent="0.2">
      <c r="B637" s="3"/>
      <c r="C637" s="3"/>
    </row>
    <row r="638" spans="2:3" ht="15" customHeight="1" x14ac:dyDescent="0.2">
      <c r="B638" s="3"/>
      <c r="C638" s="3"/>
    </row>
    <row r="639" spans="2:3" ht="15" customHeight="1" x14ac:dyDescent="0.2">
      <c r="B639" s="3"/>
      <c r="C639" s="3"/>
    </row>
    <row r="640" spans="2:3" ht="15" customHeight="1" x14ac:dyDescent="0.2">
      <c r="B640" s="3"/>
      <c r="C640" s="3"/>
    </row>
    <row r="641" spans="2:3" ht="15" customHeight="1" x14ac:dyDescent="0.2">
      <c r="B641" s="3"/>
      <c r="C641" s="3"/>
    </row>
    <row r="642" spans="2:3" ht="15" customHeight="1" x14ac:dyDescent="0.2">
      <c r="B642" s="3"/>
      <c r="C642" s="3"/>
    </row>
    <row r="643" spans="2:3" ht="15" customHeight="1" x14ac:dyDescent="0.2">
      <c r="B643" s="3"/>
      <c r="C643" s="3"/>
    </row>
    <row r="644" spans="2:3" ht="15" customHeight="1" x14ac:dyDescent="0.2">
      <c r="B644" s="3"/>
      <c r="C644" s="3"/>
    </row>
    <row r="645" spans="2:3" ht="15" customHeight="1" x14ac:dyDescent="0.2">
      <c r="B645" s="3"/>
      <c r="C645" s="3"/>
    </row>
    <row r="646" spans="2:3" ht="15" customHeight="1" x14ac:dyDescent="0.2">
      <c r="B646" s="3"/>
      <c r="C646" s="3"/>
    </row>
    <row r="647" spans="2:3" ht="15" customHeight="1" x14ac:dyDescent="0.2">
      <c r="B647" s="3"/>
      <c r="C647" s="3"/>
    </row>
    <row r="648" spans="2:3" ht="15" customHeight="1" x14ac:dyDescent="0.2">
      <c r="B648" s="3"/>
      <c r="C648" s="3"/>
    </row>
    <row r="649" spans="2:3" ht="15" customHeight="1" x14ac:dyDescent="0.2">
      <c r="B649" s="3"/>
      <c r="C649" s="3"/>
    </row>
    <row r="650" spans="2:3" ht="15" customHeight="1" x14ac:dyDescent="0.2">
      <c r="B650" s="3"/>
      <c r="C650" s="3"/>
    </row>
    <row r="651" spans="2:3" ht="15" customHeight="1" x14ac:dyDescent="0.2">
      <c r="B651" s="3"/>
      <c r="C651" s="3"/>
    </row>
    <row r="652" spans="2:3" ht="15" customHeight="1" x14ac:dyDescent="0.2">
      <c r="B652" s="3"/>
      <c r="C652" s="3"/>
    </row>
    <row r="653" spans="2:3" ht="15" customHeight="1" x14ac:dyDescent="0.2">
      <c r="B653" s="3"/>
      <c r="C653" s="3"/>
    </row>
    <row r="654" spans="2:3" ht="15" customHeight="1" x14ac:dyDescent="0.2">
      <c r="B654" s="3"/>
      <c r="C654" s="3"/>
    </row>
    <row r="655" spans="2:3" ht="15" customHeight="1" x14ac:dyDescent="0.2">
      <c r="B655" s="3"/>
      <c r="C655" s="3"/>
    </row>
    <row r="656" spans="2:3" ht="15" customHeight="1" x14ac:dyDescent="0.2">
      <c r="B656" s="3"/>
      <c r="C656" s="3"/>
    </row>
    <row r="657" spans="2:3" ht="15" customHeight="1" x14ac:dyDescent="0.2">
      <c r="B657" s="3"/>
      <c r="C657" s="3"/>
    </row>
    <row r="658" spans="2:3" ht="15" customHeight="1" x14ac:dyDescent="0.2">
      <c r="B658" s="3"/>
      <c r="C658" s="3"/>
    </row>
    <row r="659" spans="2:3" ht="15" customHeight="1" x14ac:dyDescent="0.2">
      <c r="B659" s="3"/>
      <c r="C659" s="3"/>
    </row>
    <row r="660" spans="2:3" ht="15" customHeight="1" x14ac:dyDescent="0.2">
      <c r="B660" s="3"/>
      <c r="C660" s="3"/>
    </row>
    <row r="661" spans="2:3" ht="15" customHeight="1" x14ac:dyDescent="0.2">
      <c r="B661" s="3"/>
      <c r="C661" s="3"/>
    </row>
    <row r="662" spans="2:3" ht="15" customHeight="1" x14ac:dyDescent="0.2">
      <c r="B662" s="3"/>
      <c r="C662" s="3"/>
    </row>
    <row r="663" spans="2:3" ht="15" customHeight="1" x14ac:dyDescent="0.2">
      <c r="B663" s="3"/>
      <c r="C663" s="3"/>
    </row>
    <row r="664" spans="2:3" ht="15" customHeight="1" x14ac:dyDescent="0.2">
      <c r="B664" s="3"/>
      <c r="C664" s="3"/>
    </row>
    <row r="665" spans="2:3" ht="15" customHeight="1" x14ac:dyDescent="0.2">
      <c r="B665" s="3"/>
      <c r="C665" s="3"/>
    </row>
    <row r="666" spans="2:3" ht="15" customHeight="1" x14ac:dyDescent="0.2">
      <c r="B666" s="3"/>
      <c r="C666" s="3"/>
    </row>
    <row r="667" spans="2:3" ht="15" customHeight="1" x14ac:dyDescent="0.2">
      <c r="B667" s="3"/>
      <c r="C667" s="3"/>
    </row>
    <row r="668" spans="2:3" ht="15" customHeight="1" x14ac:dyDescent="0.2">
      <c r="B668" s="3"/>
      <c r="C668" s="3"/>
    </row>
    <row r="669" spans="2:3" ht="15" customHeight="1" x14ac:dyDescent="0.2">
      <c r="B669" s="3"/>
      <c r="C669" s="3"/>
    </row>
    <row r="670" spans="2:3" ht="15" customHeight="1" x14ac:dyDescent="0.2">
      <c r="B670" s="3"/>
      <c r="C670" s="3"/>
    </row>
    <row r="671" spans="2:3" ht="15" customHeight="1" x14ac:dyDescent="0.2">
      <c r="B671" s="3"/>
      <c r="C671" s="3"/>
    </row>
    <row r="672" spans="2:3" ht="15" customHeight="1" x14ac:dyDescent="0.2">
      <c r="B672" s="3"/>
      <c r="C672" s="3"/>
    </row>
    <row r="673" spans="2:3" ht="15" customHeight="1" x14ac:dyDescent="0.2">
      <c r="B673" s="3"/>
      <c r="C673" s="3"/>
    </row>
    <row r="674" spans="2:3" ht="15" customHeight="1" x14ac:dyDescent="0.2">
      <c r="B674" s="3"/>
      <c r="C674" s="3"/>
    </row>
    <row r="675" spans="2:3" ht="15" customHeight="1" x14ac:dyDescent="0.2">
      <c r="B675" s="3"/>
      <c r="C675" s="3"/>
    </row>
    <row r="676" spans="2:3" ht="15" customHeight="1" x14ac:dyDescent="0.2">
      <c r="B676" s="3"/>
      <c r="C676" s="3"/>
    </row>
    <row r="677" spans="2:3" ht="15" customHeight="1" x14ac:dyDescent="0.2">
      <c r="B677" s="3"/>
      <c r="C677" s="3"/>
    </row>
    <row r="678" spans="2:3" ht="15" customHeight="1" x14ac:dyDescent="0.2">
      <c r="B678" s="3"/>
      <c r="C678" s="3"/>
    </row>
    <row r="679" spans="2:3" ht="15" customHeight="1" x14ac:dyDescent="0.2">
      <c r="B679" s="3"/>
      <c r="C679" s="3"/>
    </row>
    <row r="680" spans="2:3" ht="15" customHeight="1" x14ac:dyDescent="0.2">
      <c r="B680" s="3"/>
      <c r="C680" s="3"/>
    </row>
    <row r="681" spans="2:3" ht="15" customHeight="1" x14ac:dyDescent="0.2">
      <c r="B681" s="3"/>
      <c r="C681" s="3"/>
    </row>
    <row r="682" spans="2:3" ht="15" customHeight="1" x14ac:dyDescent="0.2">
      <c r="B682" s="3"/>
      <c r="C682" s="3"/>
    </row>
    <row r="683" spans="2:3" ht="15" customHeight="1" x14ac:dyDescent="0.2">
      <c r="B683" s="3"/>
      <c r="C683" s="3"/>
    </row>
    <row r="684" spans="2:3" ht="15" customHeight="1" x14ac:dyDescent="0.2">
      <c r="B684" s="3"/>
      <c r="C684" s="3"/>
    </row>
    <row r="685" spans="2:3" ht="15" customHeight="1" x14ac:dyDescent="0.2">
      <c r="B685" s="3"/>
      <c r="C685" s="3"/>
    </row>
    <row r="686" spans="2:3" ht="15" customHeight="1" x14ac:dyDescent="0.2">
      <c r="B686" s="3"/>
      <c r="C686" s="3"/>
    </row>
    <row r="687" spans="2:3" ht="15" customHeight="1" x14ac:dyDescent="0.2">
      <c r="B687" s="3"/>
      <c r="C687" s="3"/>
    </row>
    <row r="688" spans="2:3" ht="15" customHeight="1" x14ac:dyDescent="0.2">
      <c r="B688" s="3"/>
      <c r="C688" s="3"/>
    </row>
    <row r="689" spans="2:3" ht="15" customHeight="1" x14ac:dyDescent="0.2">
      <c r="B689" s="3"/>
      <c r="C689" s="3"/>
    </row>
    <row r="690" spans="2:3" ht="15" customHeight="1" x14ac:dyDescent="0.2">
      <c r="B690" s="3"/>
      <c r="C690" s="3"/>
    </row>
    <row r="691" spans="2:3" ht="15" customHeight="1" x14ac:dyDescent="0.2">
      <c r="B691" s="3"/>
      <c r="C691" s="3"/>
    </row>
    <row r="692" spans="2:3" ht="15" customHeight="1" x14ac:dyDescent="0.2">
      <c r="B692" s="3"/>
      <c r="C692" s="3"/>
    </row>
    <row r="693" spans="2:3" ht="15" customHeight="1" x14ac:dyDescent="0.2">
      <c r="B693" s="3"/>
      <c r="C693" s="3"/>
    </row>
    <row r="694" spans="2:3" ht="15" customHeight="1" x14ac:dyDescent="0.2">
      <c r="B694" s="3"/>
      <c r="C694" s="3"/>
    </row>
    <row r="695" spans="2:3" ht="15" customHeight="1" x14ac:dyDescent="0.2">
      <c r="B695" s="3"/>
      <c r="C695" s="3"/>
    </row>
    <row r="696" spans="2:3" ht="15" customHeight="1" x14ac:dyDescent="0.2">
      <c r="B696" s="3"/>
      <c r="C696" s="3"/>
    </row>
    <row r="697" spans="2:3" ht="15" customHeight="1" x14ac:dyDescent="0.2">
      <c r="B697" s="3"/>
      <c r="C697" s="3"/>
    </row>
    <row r="698" spans="2:3" ht="15" customHeight="1" x14ac:dyDescent="0.2">
      <c r="B698" s="3"/>
      <c r="C698" s="3"/>
    </row>
    <row r="699" spans="2:3" ht="15" customHeight="1" x14ac:dyDescent="0.2">
      <c r="B699" s="3"/>
      <c r="C699" s="3"/>
    </row>
    <row r="700" spans="2:3" ht="15" customHeight="1" x14ac:dyDescent="0.2">
      <c r="B700" s="3"/>
      <c r="C700" s="3"/>
    </row>
    <row r="701" spans="2:3" ht="15" customHeight="1" x14ac:dyDescent="0.2">
      <c r="B701" s="3"/>
      <c r="C701" s="3"/>
    </row>
    <row r="702" spans="2:3" ht="15" customHeight="1" x14ac:dyDescent="0.2">
      <c r="B702" s="3"/>
      <c r="C702" s="3"/>
    </row>
    <row r="703" spans="2:3" ht="15" customHeight="1" x14ac:dyDescent="0.2">
      <c r="B703" s="3"/>
      <c r="C703" s="3"/>
    </row>
    <row r="704" spans="2:3" ht="15" customHeight="1" x14ac:dyDescent="0.2">
      <c r="B704" s="3"/>
      <c r="C704" s="3"/>
    </row>
    <row r="705" spans="2:3" ht="15" customHeight="1" x14ac:dyDescent="0.2">
      <c r="B705" s="3"/>
      <c r="C705" s="3"/>
    </row>
    <row r="706" spans="2:3" ht="15" customHeight="1" x14ac:dyDescent="0.2">
      <c r="B706" s="3"/>
      <c r="C706" s="3"/>
    </row>
    <row r="707" spans="2:3" ht="15" customHeight="1" x14ac:dyDescent="0.2">
      <c r="B707" s="3"/>
      <c r="C707" s="3"/>
    </row>
    <row r="708" spans="2:3" ht="15" customHeight="1" x14ac:dyDescent="0.2">
      <c r="B708" s="3"/>
      <c r="C708" s="3"/>
    </row>
    <row r="709" spans="2:3" ht="15" customHeight="1" x14ac:dyDescent="0.2">
      <c r="B709" s="3"/>
      <c r="C709" s="3"/>
    </row>
    <row r="710" spans="2:3" ht="15" customHeight="1" x14ac:dyDescent="0.2">
      <c r="B710" s="3"/>
      <c r="C710" s="3"/>
    </row>
    <row r="711" spans="2:3" ht="15" customHeight="1" x14ac:dyDescent="0.2">
      <c r="B711" s="3"/>
      <c r="C711" s="3"/>
    </row>
    <row r="712" spans="2:3" ht="15" customHeight="1" x14ac:dyDescent="0.2">
      <c r="B712" s="3"/>
      <c r="C712" s="3"/>
    </row>
    <row r="713" spans="2:3" ht="15" customHeight="1" x14ac:dyDescent="0.2">
      <c r="B713" s="3"/>
      <c r="C713" s="3"/>
    </row>
    <row r="714" spans="2:3" ht="15" customHeight="1" x14ac:dyDescent="0.2">
      <c r="B714" s="3"/>
      <c r="C714" s="3"/>
    </row>
    <row r="715" spans="2:3" ht="15" customHeight="1" x14ac:dyDescent="0.2">
      <c r="B715" s="3"/>
      <c r="C715" s="3"/>
    </row>
    <row r="716" spans="2:3" ht="15" customHeight="1" x14ac:dyDescent="0.2">
      <c r="B716" s="3"/>
      <c r="C716" s="3"/>
    </row>
    <row r="717" spans="2:3" ht="15" customHeight="1" x14ac:dyDescent="0.2">
      <c r="B717" s="3"/>
      <c r="C717" s="3"/>
    </row>
    <row r="718" spans="2:3" ht="15" customHeight="1" x14ac:dyDescent="0.2">
      <c r="B718" s="3"/>
      <c r="C718" s="3"/>
    </row>
    <row r="719" spans="2:3" ht="15" customHeight="1" x14ac:dyDescent="0.2">
      <c r="B719" s="3"/>
      <c r="C719" s="3"/>
    </row>
    <row r="720" spans="2:3" ht="15" customHeight="1" x14ac:dyDescent="0.2">
      <c r="B720" s="3"/>
      <c r="C720" s="3"/>
    </row>
    <row r="721" spans="2:3" ht="15" customHeight="1" x14ac:dyDescent="0.2">
      <c r="B721" s="3"/>
      <c r="C721" s="3"/>
    </row>
    <row r="722" spans="2:3" ht="15" customHeight="1" x14ac:dyDescent="0.2">
      <c r="B722" s="3"/>
      <c r="C722" s="3"/>
    </row>
    <row r="723" spans="2:3" ht="15" customHeight="1" x14ac:dyDescent="0.2">
      <c r="B723" s="3"/>
      <c r="C723" s="3"/>
    </row>
    <row r="724" spans="2:3" ht="15" customHeight="1" x14ac:dyDescent="0.2">
      <c r="B724" s="3"/>
      <c r="C724" s="3"/>
    </row>
    <row r="725" spans="2:3" ht="15" customHeight="1" x14ac:dyDescent="0.2">
      <c r="B725" s="3"/>
      <c r="C725" s="3"/>
    </row>
    <row r="726" spans="2:3" ht="15" customHeight="1" x14ac:dyDescent="0.2">
      <c r="B726" s="3"/>
      <c r="C726" s="3"/>
    </row>
    <row r="727" spans="2:3" ht="15" customHeight="1" x14ac:dyDescent="0.2">
      <c r="B727" s="3"/>
      <c r="C727" s="3"/>
    </row>
    <row r="728" spans="2:3" ht="15" customHeight="1" x14ac:dyDescent="0.2">
      <c r="B728" s="3"/>
      <c r="C728" s="3"/>
    </row>
    <row r="729" spans="2:3" ht="15" customHeight="1" x14ac:dyDescent="0.2">
      <c r="B729" s="3"/>
      <c r="C729" s="3"/>
    </row>
    <row r="730" spans="2:3" ht="15" customHeight="1" x14ac:dyDescent="0.2">
      <c r="B730" s="3"/>
      <c r="C730" s="3"/>
    </row>
    <row r="731" spans="2:3" ht="15" customHeight="1" x14ac:dyDescent="0.2">
      <c r="B731" s="3"/>
      <c r="C731" s="3"/>
    </row>
    <row r="732" spans="2:3" ht="15" customHeight="1" x14ac:dyDescent="0.2">
      <c r="B732" s="3"/>
      <c r="C732" s="3"/>
    </row>
    <row r="733" spans="2:3" ht="15" customHeight="1" x14ac:dyDescent="0.2">
      <c r="B733" s="3"/>
      <c r="C733" s="3"/>
    </row>
    <row r="734" spans="2:3" ht="15" customHeight="1" x14ac:dyDescent="0.2">
      <c r="B734" s="3"/>
      <c r="C734" s="3"/>
    </row>
    <row r="735" spans="2:3" ht="15" customHeight="1" x14ac:dyDescent="0.2">
      <c r="B735" s="3"/>
      <c r="C735" s="3"/>
    </row>
    <row r="736" spans="2:3" ht="15" customHeight="1" x14ac:dyDescent="0.2">
      <c r="B736" s="3"/>
      <c r="C736" s="3"/>
    </row>
    <row r="737" spans="2:3" ht="15" customHeight="1" x14ac:dyDescent="0.2">
      <c r="B737" s="3"/>
      <c r="C737" s="3"/>
    </row>
    <row r="738" spans="2:3" ht="15" customHeight="1" x14ac:dyDescent="0.2">
      <c r="B738" s="3"/>
      <c r="C738" s="3"/>
    </row>
    <row r="739" spans="2:3" ht="15" customHeight="1" x14ac:dyDescent="0.2">
      <c r="B739" s="3"/>
      <c r="C739" s="3"/>
    </row>
    <row r="740" spans="2:3" ht="15" customHeight="1" x14ac:dyDescent="0.2">
      <c r="B740" s="3"/>
      <c r="C740" s="3"/>
    </row>
    <row r="741" spans="2:3" ht="15" customHeight="1" x14ac:dyDescent="0.2">
      <c r="B741" s="3"/>
      <c r="C741" s="3"/>
    </row>
    <row r="742" spans="2:3" ht="15" customHeight="1" x14ac:dyDescent="0.2">
      <c r="B742" s="3"/>
      <c r="C742" s="3"/>
    </row>
    <row r="743" spans="2:3" ht="15" customHeight="1" x14ac:dyDescent="0.2">
      <c r="B743" s="3"/>
      <c r="C743" s="3"/>
    </row>
    <row r="744" spans="2:3" ht="15" customHeight="1" x14ac:dyDescent="0.2">
      <c r="B744" s="3"/>
      <c r="C744" s="3"/>
    </row>
    <row r="745" spans="2:3" ht="15" customHeight="1" x14ac:dyDescent="0.2">
      <c r="B745" s="3"/>
      <c r="C745" s="3"/>
    </row>
    <row r="746" spans="2:3" ht="15" customHeight="1" x14ac:dyDescent="0.2">
      <c r="B746" s="3"/>
      <c r="C746" s="3"/>
    </row>
    <row r="747" spans="2:3" ht="15" customHeight="1" x14ac:dyDescent="0.2">
      <c r="B747" s="3"/>
      <c r="C747" s="3"/>
    </row>
    <row r="748" spans="2:3" ht="15" customHeight="1" x14ac:dyDescent="0.2">
      <c r="B748" s="3"/>
      <c r="C748" s="3"/>
    </row>
    <row r="749" spans="2:3" ht="15" customHeight="1" x14ac:dyDescent="0.2">
      <c r="B749" s="3"/>
      <c r="C749" s="3"/>
    </row>
    <row r="750" spans="2:3" ht="15" customHeight="1" x14ac:dyDescent="0.2">
      <c r="B750" s="3"/>
      <c r="C750" s="3"/>
    </row>
    <row r="751" spans="2:3" ht="15" customHeight="1" x14ac:dyDescent="0.2">
      <c r="B751" s="3"/>
      <c r="C751" s="3"/>
    </row>
    <row r="752" spans="2:3" ht="15" customHeight="1" x14ac:dyDescent="0.2">
      <c r="B752" s="3"/>
      <c r="C752" s="3"/>
    </row>
    <row r="753" spans="2:3" ht="15" customHeight="1" x14ac:dyDescent="0.2">
      <c r="B753" s="3"/>
      <c r="C753" s="3"/>
    </row>
    <row r="754" spans="2:3" ht="15" customHeight="1" x14ac:dyDescent="0.2">
      <c r="B754" s="3"/>
      <c r="C754" s="3"/>
    </row>
    <row r="755" spans="2:3" ht="15" customHeight="1" x14ac:dyDescent="0.2">
      <c r="B755" s="3"/>
      <c r="C755" s="3"/>
    </row>
    <row r="756" spans="2:3" ht="15" customHeight="1" x14ac:dyDescent="0.2">
      <c r="B756" s="3"/>
      <c r="C756" s="3"/>
    </row>
    <row r="757" spans="2:3" ht="15" customHeight="1" x14ac:dyDescent="0.2">
      <c r="B757" s="3"/>
      <c r="C757" s="3"/>
    </row>
    <row r="758" spans="2:3" ht="15" customHeight="1" x14ac:dyDescent="0.2">
      <c r="B758" s="3"/>
      <c r="C758" s="3"/>
    </row>
    <row r="759" spans="2:3" ht="15" customHeight="1" x14ac:dyDescent="0.2">
      <c r="B759" s="3"/>
      <c r="C759" s="3"/>
    </row>
    <row r="760" spans="2:3" ht="15" customHeight="1" x14ac:dyDescent="0.2">
      <c r="B760" s="3"/>
      <c r="C760" s="3"/>
    </row>
    <row r="761" spans="2:3" ht="15" customHeight="1" x14ac:dyDescent="0.2">
      <c r="B761" s="3"/>
      <c r="C761" s="3"/>
    </row>
    <row r="762" spans="2:3" ht="15" customHeight="1" x14ac:dyDescent="0.2">
      <c r="B762" s="3"/>
      <c r="C762" s="3"/>
    </row>
    <row r="763" spans="2:3" ht="15" customHeight="1" x14ac:dyDescent="0.2">
      <c r="B763" s="3"/>
      <c r="C763" s="3"/>
    </row>
    <row r="764" spans="2:3" ht="15" customHeight="1" x14ac:dyDescent="0.2">
      <c r="B764" s="3"/>
      <c r="C764" s="3"/>
    </row>
    <row r="765" spans="2:3" ht="15" customHeight="1" x14ac:dyDescent="0.2">
      <c r="B765" s="3"/>
      <c r="C765" s="3"/>
    </row>
    <row r="766" spans="2:3" ht="15" customHeight="1" x14ac:dyDescent="0.2">
      <c r="B766" s="3"/>
      <c r="C766" s="3"/>
    </row>
    <row r="767" spans="2:3" ht="15" customHeight="1" x14ac:dyDescent="0.2">
      <c r="B767" s="3"/>
      <c r="C767" s="3"/>
    </row>
    <row r="768" spans="2:3" ht="15" customHeight="1" x14ac:dyDescent="0.2">
      <c r="B768" s="3"/>
      <c r="C768" s="3"/>
    </row>
    <row r="769" spans="2:3" ht="15" customHeight="1" x14ac:dyDescent="0.2">
      <c r="B769" s="3"/>
      <c r="C769" s="3"/>
    </row>
    <row r="770" spans="2:3" ht="15" customHeight="1" x14ac:dyDescent="0.2">
      <c r="B770" s="3"/>
      <c r="C770" s="3"/>
    </row>
    <row r="771" spans="2:3" ht="15" customHeight="1" x14ac:dyDescent="0.2">
      <c r="B771" s="3"/>
      <c r="C771" s="3"/>
    </row>
    <row r="772" spans="2:3" ht="15" customHeight="1" x14ac:dyDescent="0.2">
      <c r="B772" s="3"/>
      <c r="C772" s="3"/>
    </row>
    <row r="773" spans="2:3" ht="15" customHeight="1" x14ac:dyDescent="0.2">
      <c r="B773" s="3"/>
      <c r="C773" s="3"/>
    </row>
    <row r="774" spans="2:3" ht="15" customHeight="1" x14ac:dyDescent="0.2">
      <c r="B774" s="3"/>
      <c r="C774" s="3"/>
    </row>
    <row r="775" spans="2:3" ht="15" customHeight="1" x14ac:dyDescent="0.2">
      <c r="B775" s="3"/>
      <c r="C775" s="3"/>
    </row>
    <row r="776" spans="2:3" ht="15" customHeight="1" x14ac:dyDescent="0.2">
      <c r="B776" s="3"/>
      <c r="C776" s="3"/>
    </row>
    <row r="777" spans="2:3" ht="15" customHeight="1" x14ac:dyDescent="0.2">
      <c r="B777" s="3"/>
      <c r="C777" s="3"/>
    </row>
    <row r="778" spans="2:3" ht="15" customHeight="1" x14ac:dyDescent="0.2">
      <c r="B778" s="3"/>
      <c r="C778" s="3"/>
    </row>
    <row r="779" spans="2:3" ht="15" customHeight="1" x14ac:dyDescent="0.2">
      <c r="B779" s="3"/>
      <c r="C779" s="3"/>
    </row>
    <row r="780" spans="2:3" ht="15" customHeight="1" x14ac:dyDescent="0.2">
      <c r="B780" s="3"/>
      <c r="C780" s="3"/>
    </row>
    <row r="781" spans="2:3" ht="15" customHeight="1" x14ac:dyDescent="0.2">
      <c r="B781" s="3"/>
      <c r="C781" s="3"/>
    </row>
    <row r="782" spans="2:3" ht="15" customHeight="1" x14ac:dyDescent="0.2">
      <c r="B782" s="3"/>
      <c r="C782" s="3"/>
    </row>
    <row r="783" spans="2:3" ht="15" customHeight="1" x14ac:dyDescent="0.2">
      <c r="B783" s="3"/>
      <c r="C783" s="3"/>
    </row>
    <row r="784" spans="2:3" ht="15" customHeight="1" x14ac:dyDescent="0.2">
      <c r="B784" s="3"/>
      <c r="C784" s="3"/>
    </row>
    <row r="785" spans="2:3" ht="15" customHeight="1" x14ac:dyDescent="0.2">
      <c r="B785" s="3"/>
      <c r="C785" s="3"/>
    </row>
    <row r="786" spans="2:3" ht="15" customHeight="1" x14ac:dyDescent="0.2">
      <c r="B786" s="3"/>
      <c r="C786" s="3"/>
    </row>
    <row r="787" spans="2:3" ht="15" customHeight="1" x14ac:dyDescent="0.2">
      <c r="B787" s="3"/>
      <c r="C787" s="3"/>
    </row>
    <row r="788" spans="2:3" ht="15" customHeight="1" x14ac:dyDescent="0.2">
      <c r="B788" s="3"/>
      <c r="C788" s="3"/>
    </row>
    <row r="789" spans="2:3" ht="15" customHeight="1" x14ac:dyDescent="0.2">
      <c r="B789" s="3"/>
      <c r="C789" s="3"/>
    </row>
    <row r="790" spans="2:3" ht="15" customHeight="1" x14ac:dyDescent="0.2">
      <c r="B790" s="3"/>
      <c r="C790" s="3"/>
    </row>
    <row r="791" spans="2:3" ht="15" customHeight="1" x14ac:dyDescent="0.2">
      <c r="B791" s="3"/>
      <c r="C791" s="3"/>
    </row>
    <row r="792" spans="2:3" ht="15" customHeight="1" x14ac:dyDescent="0.2">
      <c r="B792" s="3"/>
      <c r="C792" s="3"/>
    </row>
    <row r="793" spans="2:3" ht="15" customHeight="1" x14ac:dyDescent="0.2">
      <c r="B793" s="3"/>
      <c r="C793" s="3"/>
    </row>
    <row r="794" spans="2:3" ht="15" customHeight="1" x14ac:dyDescent="0.2">
      <c r="B794" s="3"/>
      <c r="C794" s="3"/>
    </row>
    <row r="795" spans="2:3" ht="15" customHeight="1" x14ac:dyDescent="0.2">
      <c r="B795" s="3"/>
      <c r="C795" s="3"/>
    </row>
    <row r="796" spans="2:3" ht="15" customHeight="1" x14ac:dyDescent="0.2">
      <c r="B796" s="3"/>
      <c r="C796" s="3"/>
    </row>
    <row r="797" spans="2:3" ht="15" customHeight="1" x14ac:dyDescent="0.2">
      <c r="B797" s="3"/>
      <c r="C797" s="3"/>
    </row>
    <row r="798" spans="2:3" ht="15" customHeight="1" x14ac:dyDescent="0.2">
      <c r="B798" s="3"/>
      <c r="C798" s="3"/>
    </row>
    <row r="799" spans="2:3" ht="15" customHeight="1" x14ac:dyDescent="0.2">
      <c r="B799" s="3"/>
      <c r="C799" s="3"/>
    </row>
    <row r="800" spans="2:3" ht="15" customHeight="1" x14ac:dyDescent="0.2">
      <c r="B800" s="3"/>
      <c r="C800" s="3"/>
    </row>
    <row r="801" spans="2:3" ht="15" customHeight="1" x14ac:dyDescent="0.2">
      <c r="B801" s="3"/>
      <c r="C801" s="3"/>
    </row>
    <row r="802" spans="2:3" ht="15" customHeight="1" x14ac:dyDescent="0.2">
      <c r="B802" s="3"/>
      <c r="C802" s="3"/>
    </row>
    <row r="803" spans="2:3" ht="15" customHeight="1" x14ac:dyDescent="0.2">
      <c r="B803" s="3"/>
      <c r="C803" s="3"/>
    </row>
    <row r="804" spans="2:3" ht="15" customHeight="1" x14ac:dyDescent="0.2">
      <c r="B804" s="3"/>
      <c r="C804" s="3"/>
    </row>
    <row r="805" spans="2:3" ht="15" customHeight="1" x14ac:dyDescent="0.2">
      <c r="B805" s="3"/>
      <c r="C805" s="3"/>
    </row>
    <row r="806" spans="2:3" ht="15" customHeight="1" x14ac:dyDescent="0.2">
      <c r="B806" s="3"/>
      <c r="C806" s="3"/>
    </row>
    <row r="807" spans="2:3" ht="15" customHeight="1" x14ac:dyDescent="0.2">
      <c r="B807" s="3"/>
      <c r="C807" s="3"/>
    </row>
    <row r="808" spans="2:3" ht="15" customHeight="1" x14ac:dyDescent="0.2">
      <c r="B808" s="3"/>
      <c r="C808" s="3"/>
    </row>
    <row r="809" spans="2:3" ht="15" customHeight="1" x14ac:dyDescent="0.2">
      <c r="B809" s="3"/>
      <c r="C809" s="3"/>
    </row>
    <row r="810" spans="2:3" ht="15" customHeight="1" x14ac:dyDescent="0.2">
      <c r="B810" s="3"/>
      <c r="C810" s="3"/>
    </row>
    <row r="811" spans="2:3" ht="15" customHeight="1" x14ac:dyDescent="0.2">
      <c r="B811" s="3"/>
      <c r="C811" s="3"/>
    </row>
    <row r="812" spans="2:3" ht="15" customHeight="1" x14ac:dyDescent="0.2">
      <c r="B812" s="3"/>
      <c r="C812" s="3"/>
    </row>
    <row r="813" spans="2:3" ht="15" customHeight="1" x14ac:dyDescent="0.2">
      <c r="B813" s="3"/>
      <c r="C813" s="3"/>
    </row>
    <row r="814" spans="2:3" ht="15" customHeight="1" x14ac:dyDescent="0.2">
      <c r="B814" s="3"/>
      <c r="C814" s="3"/>
    </row>
    <row r="815" spans="2:3" ht="15" customHeight="1" x14ac:dyDescent="0.2">
      <c r="B815" s="3"/>
      <c r="C815" s="3"/>
    </row>
    <row r="816" spans="2:3" ht="15" customHeight="1" x14ac:dyDescent="0.2">
      <c r="B816" s="3"/>
      <c r="C816" s="3"/>
    </row>
    <row r="817" spans="2:3" ht="15" customHeight="1" x14ac:dyDescent="0.2">
      <c r="B817" s="3"/>
      <c r="C817" s="3"/>
    </row>
    <row r="818" spans="2:3" ht="15" customHeight="1" x14ac:dyDescent="0.2">
      <c r="B818" s="3"/>
      <c r="C818" s="3"/>
    </row>
    <row r="819" spans="2:3" ht="15" customHeight="1" x14ac:dyDescent="0.2">
      <c r="B819" s="3"/>
      <c r="C819" s="3"/>
    </row>
    <row r="820" spans="2:3" ht="15" customHeight="1" x14ac:dyDescent="0.2">
      <c r="B820" s="3"/>
      <c r="C820" s="3"/>
    </row>
    <row r="821" spans="2:3" ht="15" customHeight="1" x14ac:dyDescent="0.2">
      <c r="B821" s="3"/>
      <c r="C821" s="3"/>
    </row>
    <row r="822" spans="2:3" ht="15" customHeight="1" x14ac:dyDescent="0.2">
      <c r="B822" s="3"/>
      <c r="C822" s="3"/>
    </row>
    <row r="823" spans="2:3" ht="15" customHeight="1" x14ac:dyDescent="0.2">
      <c r="B823" s="3"/>
      <c r="C823" s="3"/>
    </row>
    <row r="824" spans="2:3" ht="15" customHeight="1" x14ac:dyDescent="0.2">
      <c r="B824" s="3"/>
      <c r="C824" s="3"/>
    </row>
    <row r="825" spans="2:3" ht="15" customHeight="1" x14ac:dyDescent="0.2">
      <c r="B825" s="3"/>
      <c r="C825" s="3"/>
    </row>
    <row r="826" spans="2:3" ht="15" customHeight="1" x14ac:dyDescent="0.2">
      <c r="B826" s="3"/>
      <c r="C826" s="3"/>
    </row>
    <row r="827" spans="2:3" ht="15" customHeight="1" x14ac:dyDescent="0.2">
      <c r="B827" s="3"/>
      <c r="C827" s="3"/>
    </row>
    <row r="828" spans="2:3" ht="15" customHeight="1" x14ac:dyDescent="0.2">
      <c r="B828" s="3"/>
      <c r="C828" s="3"/>
    </row>
    <row r="829" spans="2:3" ht="15" customHeight="1" x14ac:dyDescent="0.2">
      <c r="B829" s="3"/>
      <c r="C829" s="3"/>
    </row>
    <row r="830" spans="2:3" ht="15" customHeight="1" x14ac:dyDescent="0.2">
      <c r="B830" s="3"/>
      <c r="C830" s="3"/>
    </row>
    <row r="831" spans="2:3" ht="15" customHeight="1" x14ac:dyDescent="0.2">
      <c r="B831" s="3"/>
      <c r="C831" s="3"/>
    </row>
    <row r="832" spans="2:3" ht="15" customHeight="1" x14ac:dyDescent="0.2">
      <c r="B832" s="3"/>
      <c r="C832" s="3"/>
    </row>
    <row r="833" spans="2:3" ht="15" customHeight="1" x14ac:dyDescent="0.2">
      <c r="B833" s="3"/>
      <c r="C833" s="3"/>
    </row>
    <row r="834" spans="2:3" ht="15" customHeight="1" x14ac:dyDescent="0.2">
      <c r="B834" s="3"/>
      <c r="C834" s="3"/>
    </row>
    <row r="835" spans="2:3" ht="15" customHeight="1" x14ac:dyDescent="0.2">
      <c r="B835" s="3"/>
      <c r="C835" s="3"/>
    </row>
    <row r="836" spans="2:3" ht="15" customHeight="1" x14ac:dyDescent="0.2">
      <c r="B836" s="3"/>
      <c r="C836" s="3"/>
    </row>
    <row r="837" spans="2:3" ht="15" customHeight="1" x14ac:dyDescent="0.2">
      <c r="B837" s="3"/>
      <c r="C837" s="3"/>
    </row>
    <row r="838" spans="2:3" ht="15" customHeight="1" x14ac:dyDescent="0.2">
      <c r="B838" s="3"/>
      <c r="C838" s="3"/>
    </row>
    <row r="839" spans="2:3" ht="15" customHeight="1" x14ac:dyDescent="0.2">
      <c r="B839" s="3"/>
      <c r="C839" s="3"/>
    </row>
    <row r="840" spans="2:3" ht="15" customHeight="1" x14ac:dyDescent="0.2">
      <c r="B840" s="3"/>
      <c r="C840" s="3"/>
    </row>
    <row r="841" spans="2:3" ht="15" customHeight="1" x14ac:dyDescent="0.2">
      <c r="B841" s="3"/>
      <c r="C841" s="3"/>
    </row>
    <row r="842" spans="2:3" ht="15" customHeight="1" x14ac:dyDescent="0.2">
      <c r="B842" s="3"/>
      <c r="C842" s="3"/>
    </row>
    <row r="843" spans="2:3" ht="15" customHeight="1" x14ac:dyDescent="0.2">
      <c r="B843" s="3"/>
      <c r="C843" s="3"/>
    </row>
    <row r="844" spans="2:3" ht="15" customHeight="1" x14ac:dyDescent="0.2">
      <c r="B844" s="3"/>
      <c r="C844" s="3"/>
    </row>
    <row r="845" spans="2:3" ht="15" customHeight="1" x14ac:dyDescent="0.2">
      <c r="B845" s="3"/>
      <c r="C845" s="3"/>
    </row>
    <row r="846" spans="2:3" ht="15" customHeight="1" x14ac:dyDescent="0.2">
      <c r="B846" s="3"/>
      <c r="C846" s="3"/>
    </row>
    <row r="847" spans="2:3" ht="15" customHeight="1" x14ac:dyDescent="0.2">
      <c r="B847" s="3"/>
      <c r="C847" s="3"/>
    </row>
    <row r="848" spans="2:3" ht="15" customHeight="1" x14ac:dyDescent="0.2">
      <c r="B848" s="3"/>
      <c r="C848" s="3"/>
    </row>
    <row r="849" spans="2:3" ht="15" customHeight="1" x14ac:dyDescent="0.2">
      <c r="B849" s="3"/>
      <c r="C849" s="3"/>
    </row>
    <row r="850" spans="2:3" ht="15" customHeight="1" x14ac:dyDescent="0.2">
      <c r="B850" s="3"/>
      <c r="C850" s="3"/>
    </row>
    <row r="851" spans="2:3" ht="15" customHeight="1" x14ac:dyDescent="0.2">
      <c r="B851" s="3"/>
      <c r="C851" s="3"/>
    </row>
    <row r="852" spans="2:3" ht="15" customHeight="1" x14ac:dyDescent="0.2">
      <c r="B852" s="3"/>
      <c r="C852" s="3"/>
    </row>
    <row r="853" spans="2:3" ht="15" customHeight="1" x14ac:dyDescent="0.2">
      <c r="B853" s="3"/>
      <c r="C853" s="3"/>
    </row>
    <row r="854" spans="2:3" ht="15" customHeight="1" x14ac:dyDescent="0.2">
      <c r="B854" s="3"/>
      <c r="C854" s="3"/>
    </row>
    <row r="855" spans="2:3" ht="15" customHeight="1" x14ac:dyDescent="0.2">
      <c r="B855" s="3"/>
      <c r="C855" s="3"/>
    </row>
    <row r="856" spans="2:3" ht="15" customHeight="1" x14ac:dyDescent="0.2">
      <c r="B856" s="3"/>
      <c r="C856" s="3"/>
    </row>
    <row r="857" spans="2:3" ht="15" customHeight="1" x14ac:dyDescent="0.2">
      <c r="B857" s="3"/>
      <c r="C857" s="3"/>
    </row>
    <row r="858" spans="2:3" ht="15" customHeight="1" x14ac:dyDescent="0.2">
      <c r="B858" s="3"/>
      <c r="C858" s="3"/>
    </row>
    <row r="859" spans="2:3" ht="15" customHeight="1" x14ac:dyDescent="0.2">
      <c r="B859" s="3"/>
      <c r="C859" s="3"/>
    </row>
    <row r="860" spans="2:3" ht="15" customHeight="1" x14ac:dyDescent="0.2">
      <c r="B860" s="3"/>
      <c r="C860" s="3"/>
    </row>
    <row r="861" spans="2:3" ht="15" customHeight="1" x14ac:dyDescent="0.2">
      <c r="B861" s="3"/>
      <c r="C861" s="3"/>
    </row>
    <row r="862" spans="2:3" ht="15" customHeight="1" x14ac:dyDescent="0.2">
      <c r="B862" s="3"/>
      <c r="C862" s="3"/>
    </row>
    <row r="863" spans="2:3" ht="15" customHeight="1" x14ac:dyDescent="0.2">
      <c r="B863" s="3"/>
      <c r="C863" s="3"/>
    </row>
    <row r="864" spans="2:3" ht="15" customHeight="1" x14ac:dyDescent="0.2">
      <c r="B864" s="3"/>
      <c r="C864" s="3"/>
    </row>
    <row r="865" spans="2:3" ht="15" customHeight="1" x14ac:dyDescent="0.2">
      <c r="B865" s="3"/>
      <c r="C865" s="3"/>
    </row>
    <row r="866" spans="2:3" ht="15" customHeight="1" x14ac:dyDescent="0.2">
      <c r="B866" s="3"/>
      <c r="C866" s="3"/>
    </row>
    <row r="867" spans="2:3" ht="15" customHeight="1" x14ac:dyDescent="0.2">
      <c r="B867" s="3"/>
      <c r="C867" s="3"/>
    </row>
    <row r="868" spans="2:3" ht="15" customHeight="1" x14ac:dyDescent="0.2">
      <c r="B868" s="3"/>
      <c r="C868" s="3"/>
    </row>
    <row r="869" spans="2:3" ht="15" customHeight="1" x14ac:dyDescent="0.2">
      <c r="B869" s="3"/>
      <c r="C869" s="3"/>
    </row>
    <row r="870" spans="2:3" ht="15" customHeight="1" x14ac:dyDescent="0.2">
      <c r="B870" s="3"/>
      <c r="C870" s="3"/>
    </row>
    <row r="871" spans="2:3" ht="15" customHeight="1" x14ac:dyDescent="0.2">
      <c r="B871" s="3"/>
      <c r="C871" s="3"/>
    </row>
    <row r="872" spans="2:3" ht="15" customHeight="1" x14ac:dyDescent="0.2">
      <c r="B872" s="3"/>
      <c r="C872" s="3"/>
    </row>
    <row r="873" spans="2:3" ht="15" customHeight="1" x14ac:dyDescent="0.2">
      <c r="B873" s="3"/>
      <c r="C873" s="3"/>
    </row>
    <row r="874" spans="2:3" ht="15" customHeight="1" x14ac:dyDescent="0.2">
      <c r="B874" s="3"/>
      <c r="C874" s="3"/>
    </row>
    <row r="875" spans="2:3" ht="15" customHeight="1" x14ac:dyDescent="0.2">
      <c r="B875" s="3"/>
      <c r="C875" s="3"/>
    </row>
    <row r="876" spans="2:3" ht="15" customHeight="1" x14ac:dyDescent="0.2">
      <c r="B876" s="3"/>
      <c r="C876" s="3"/>
    </row>
    <row r="877" spans="2:3" ht="15" customHeight="1" x14ac:dyDescent="0.2">
      <c r="B877" s="3"/>
      <c r="C877" s="3"/>
    </row>
    <row r="878" spans="2:3" ht="15" customHeight="1" x14ac:dyDescent="0.2">
      <c r="B878" s="3"/>
      <c r="C878" s="3"/>
    </row>
    <row r="879" spans="2:3" ht="15" customHeight="1" x14ac:dyDescent="0.2">
      <c r="B879" s="3"/>
      <c r="C879" s="3"/>
    </row>
    <row r="880" spans="2:3" ht="15" customHeight="1" x14ac:dyDescent="0.2">
      <c r="B880" s="3"/>
      <c r="C880" s="3"/>
    </row>
    <row r="881" spans="2:3" ht="15" customHeight="1" x14ac:dyDescent="0.2">
      <c r="B881" s="3"/>
      <c r="C881" s="3"/>
    </row>
    <row r="882" spans="2:3" ht="15" customHeight="1" x14ac:dyDescent="0.2">
      <c r="B882" s="3"/>
      <c r="C882" s="3"/>
    </row>
    <row r="883" spans="2:3" ht="15" customHeight="1" x14ac:dyDescent="0.2">
      <c r="B883" s="3"/>
      <c r="C883" s="3"/>
    </row>
    <row r="884" spans="2:3" ht="15" customHeight="1" x14ac:dyDescent="0.2">
      <c r="B884" s="3"/>
      <c r="C884" s="3"/>
    </row>
    <row r="885" spans="2:3" ht="15" customHeight="1" x14ac:dyDescent="0.2">
      <c r="B885" s="3"/>
      <c r="C885" s="3"/>
    </row>
    <row r="886" spans="2:3" ht="15" customHeight="1" x14ac:dyDescent="0.2">
      <c r="B886" s="3"/>
      <c r="C886" s="3"/>
    </row>
    <row r="887" spans="2:3" ht="15" customHeight="1" x14ac:dyDescent="0.2">
      <c r="B887" s="3"/>
      <c r="C887" s="3"/>
    </row>
    <row r="888" spans="2:3" ht="15" customHeight="1" x14ac:dyDescent="0.2">
      <c r="B888" s="3"/>
      <c r="C888" s="3"/>
    </row>
    <row r="889" spans="2:3" ht="15" customHeight="1" x14ac:dyDescent="0.2">
      <c r="B889" s="3"/>
      <c r="C889" s="3"/>
    </row>
    <row r="890" spans="2:3" ht="15" customHeight="1" x14ac:dyDescent="0.2">
      <c r="B890" s="3"/>
      <c r="C890" s="3"/>
    </row>
    <row r="891" spans="2:3" ht="15" customHeight="1" x14ac:dyDescent="0.2">
      <c r="B891" s="3"/>
      <c r="C891" s="3"/>
    </row>
    <row r="892" spans="2:3" ht="15" customHeight="1" x14ac:dyDescent="0.2">
      <c r="B892" s="3"/>
      <c r="C892" s="3"/>
    </row>
    <row r="893" spans="2:3" ht="15" customHeight="1" x14ac:dyDescent="0.2">
      <c r="B893" s="3"/>
      <c r="C893" s="3"/>
    </row>
    <row r="894" spans="2:3" ht="15" customHeight="1" x14ac:dyDescent="0.2">
      <c r="B894" s="3"/>
      <c r="C894" s="3"/>
    </row>
    <row r="895" spans="2:3" ht="15" customHeight="1" x14ac:dyDescent="0.2">
      <c r="B895" s="3"/>
      <c r="C895" s="3"/>
    </row>
    <row r="896" spans="2:3" ht="15" customHeight="1" x14ac:dyDescent="0.2">
      <c r="B896" s="3"/>
      <c r="C896" s="3"/>
    </row>
    <row r="897" spans="2:3" ht="15" customHeight="1" x14ac:dyDescent="0.2">
      <c r="B897" s="3"/>
      <c r="C897" s="3"/>
    </row>
    <row r="898" spans="2:3" ht="15" customHeight="1" x14ac:dyDescent="0.2">
      <c r="B898" s="3"/>
      <c r="C898" s="3"/>
    </row>
    <row r="899" spans="2:3" ht="15" customHeight="1" x14ac:dyDescent="0.2">
      <c r="B899" s="3"/>
      <c r="C899" s="3"/>
    </row>
    <row r="900" spans="2:3" ht="15" customHeight="1" x14ac:dyDescent="0.2">
      <c r="B900" s="3"/>
      <c r="C900" s="3"/>
    </row>
    <row r="901" spans="2:3" ht="15" customHeight="1" x14ac:dyDescent="0.2">
      <c r="B901" s="3"/>
      <c r="C901" s="3"/>
    </row>
    <row r="902" spans="2:3" ht="15" customHeight="1" x14ac:dyDescent="0.2">
      <c r="B902" s="3"/>
      <c r="C902" s="3"/>
    </row>
    <row r="903" spans="2:3" ht="15" customHeight="1" x14ac:dyDescent="0.2">
      <c r="B903" s="3"/>
      <c r="C903" s="3"/>
    </row>
    <row r="904" spans="2:3" ht="15" customHeight="1" x14ac:dyDescent="0.2">
      <c r="B904" s="3"/>
      <c r="C904" s="3"/>
    </row>
    <row r="905" spans="2:3" ht="15" customHeight="1" x14ac:dyDescent="0.2">
      <c r="B905" s="3"/>
      <c r="C905" s="3"/>
    </row>
    <row r="906" spans="2:3" ht="15" customHeight="1" x14ac:dyDescent="0.2">
      <c r="B906" s="3"/>
      <c r="C906" s="3"/>
    </row>
    <row r="907" spans="2:3" ht="15" customHeight="1" x14ac:dyDescent="0.2">
      <c r="B907" s="3"/>
      <c r="C907" s="3"/>
    </row>
    <row r="908" spans="2:3" ht="15" customHeight="1" x14ac:dyDescent="0.2">
      <c r="B908" s="3"/>
      <c r="C908" s="3"/>
    </row>
    <row r="909" spans="2:3" ht="15" customHeight="1" x14ac:dyDescent="0.2">
      <c r="B909" s="3"/>
      <c r="C909" s="3"/>
    </row>
    <row r="910" spans="2:3" ht="15" customHeight="1" x14ac:dyDescent="0.2">
      <c r="B910" s="3"/>
      <c r="C910" s="3"/>
    </row>
    <row r="911" spans="2:3" ht="15" customHeight="1" x14ac:dyDescent="0.2">
      <c r="B911" s="3"/>
      <c r="C911" s="3"/>
    </row>
    <row r="912" spans="2:3" ht="15" customHeight="1" x14ac:dyDescent="0.2">
      <c r="B912" s="3"/>
      <c r="C912" s="3"/>
    </row>
    <row r="913" spans="2:3" ht="15" customHeight="1" x14ac:dyDescent="0.2">
      <c r="B913" s="3"/>
      <c r="C913" s="3"/>
    </row>
    <row r="914" spans="2:3" ht="15" customHeight="1" x14ac:dyDescent="0.2">
      <c r="B914" s="3"/>
      <c r="C914" s="3"/>
    </row>
    <row r="915" spans="2:3" ht="15" customHeight="1" x14ac:dyDescent="0.2">
      <c r="B915" s="3"/>
      <c r="C915" s="3"/>
    </row>
    <row r="916" spans="2:3" ht="15" customHeight="1" x14ac:dyDescent="0.2">
      <c r="B916" s="3"/>
      <c r="C916" s="3"/>
    </row>
    <row r="917" spans="2:3" ht="15" customHeight="1" x14ac:dyDescent="0.2">
      <c r="B917" s="3"/>
      <c r="C917" s="3"/>
    </row>
    <row r="918" spans="2:3" ht="15" customHeight="1" x14ac:dyDescent="0.2">
      <c r="B918" s="3"/>
      <c r="C918" s="3"/>
    </row>
    <row r="919" spans="2:3" ht="15" customHeight="1" x14ac:dyDescent="0.2">
      <c r="B919" s="3"/>
      <c r="C919" s="3"/>
    </row>
    <row r="920" spans="2:3" ht="15" customHeight="1" x14ac:dyDescent="0.2">
      <c r="B920" s="3"/>
      <c r="C920" s="3"/>
    </row>
    <row r="921" spans="2:3" ht="15" customHeight="1" x14ac:dyDescent="0.2">
      <c r="B921" s="3"/>
      <c r="C921" s="3"/>
    </row>
    <row r="922" spans="2:3" ht="15" customHeight="1" x14ac:dyDescent="0.2">
      <c r="B922" s="3"/>
      <c r="C922" s="3"/>
    </row>
    <row r="923" spans="2:3" ht="15" customHeight="1" x14ac:dyDescent="0.2">
      <c r="B923" s="3"/>
      <c r="C923" s="3"/>
    </row>
    <row r="924" spans="2:3" ht="15" customHeight="1" x14ac:dyDescent="0.2">
      <c r="B924" s="3"/>
      <c r="C924" s="3"/>
    </row>
    <row r="925" spans="2:3" ht="15" customHeight="1" x14ac:dyDescent="0.2">
      <c r="B925" s="3"/>
      <c r="C925" s="3"/>
    </row>
    <row r="926" spans="2:3" ht="15" customHeight="1" x14ac:dyDescent="0.2">
      <c r="B926" s="3"/>
      <c r="C926" s="3"/>
    </row>
    <row r="927" spans="2:3" ht="15" customHeight="1" x14ac:dyDescent="0.2">
      <c r="B927" s="3"/>
      <c r="C927" s="3"/>
    </row>
    <row r="928" spans="2:3" ht="15" customHeight="1" x14ac:dyDescent="0.2">
      <c r="B928" s="3"/>
      <c r="C928" s="3"/>
    </row>
    <row r="929" spans="2:3" ht="15" customHeight="1" x14ac:dyDescent="0.2">
      <c r="B929" s="3"/>
      <c r="C929" s="3"/>
    </row>
    <row r="930" spans="2:3" ht="15" customHeight="1" x14ac:dyDescent="0.2">
      <c r="B930" s="3"/>
      <c r="C930" s="3"/>
    </row>
    <row r="931" spans="2:3" ht="15" customHeight="1" x14ac:dyDescent="0.2">
      <c r="B931" s="3"/>
      <c r="C931" s="3"/>
    </row>
    <row r="932" spans="2:3" ht="15" customHeight="1" x14ac:dyDescent="0.2">
      <c r="B932" s="3"/>
      <c r="C932" s="3"/>
    </row>
    <row r="933" spans="2:3" ht="15" customHeight="1" x14ac:dyDescent="0.2">
      <c r="B933" s="3"/>
      <c r="C933" s="3"/>
    </row>
    <row r="934" spans="2:3" ht="15" customHeight="1" x14ac:dyDescent="0.2">
      <c r="B934" s="3"/>
      <c r="C934" s="3"/>
    </row>
    <row r="935" spans="2:3" ht="15" customHeight="1" x14ac:dyDescent="0.2">
      <c r="B935" s="3"/>
      <c r="C935" s="3"/>
    </row>
    <row r="936" spans="2:3" ht="15" customHeight="1" x14ac:dyDescent="0.2">
      <c r="B936" s="3"/>
      <c r="C936" s="3"/>
    </row>
    <row r="937" spans="2:3" ht="15" customHeight="1" x14ac:dyDescent="0.2">
      <c r="B937" s="3"/>
      <c r="C937" s="3"/>
    </row>
    <row r="938" spans="2:3" ht="15" customHeight="1" x14ac:dyDescent="0.2">
      <c r="B938" s="3"/>
      <c r="C938" s="3"/>
    </row>
    <row r="939" spans="2:3" ht="15" customHeight="1" x14ac:dyDescent="0.2">
      <c r="B939" s="3"/>
      <c r="C939" s="3"/>
    </row>
    <row r="940" spans="2:3" ht="15" customHeight="1" x14ac:dyDescent="0.2">
      <c r="B940" s="3"/>
      <c r="C940" s="3"/>
    </row>
    <row r="941" spans="2:3" ht="15" customHeight="1" x14ac:dyDescent="0.2">
      <c r="B941" s="3"/>
      <c r="C941" s="3"/>
    </row>
    <row r="942" spans="2:3" ht="15" customHeight="1" x14ac:dyDescent="0.2">
      <c r="B942" s="3"/>
      <c r="C942" s="3"/>
    </row>
    <row r="943" spans="2:3" ht="15" customHeight="1" x14ac:dyDescent="0.2">
      <c r="B943" s="3"/>
      <c r="C943" s="3"/>
    </row>
    <row r="944" spans="2:3" ht="15" customHeight="1" x14ac:dyDescent="0.2">
      <c r="B944" s="3"/>
      <c r="C944" s="3"/>
    </row>
    <row r="945" spans="2:3" ht="15" customHeight="1" x14ac:dyDescent="0.2">
      <c r="B945" s="3"/>
      <c r="C945" s="3"/>
    </row>
    <row r="946" spans="2:3" ht="15" customHeight="1" x14ac:dyDescent="0.2">
      <c r="B946" s="3"/>
      <c r="C946" s="3"/>
    </row>
    <row r="947" spans="2:3" ht="15" customHeight="1" x14ac:dyDescent="0.2">
      <c r="B947" s="3"/>
      <c r="C947" s="3"/>
    </row>
    <row r="948" spans="2:3" ht="15" customHeight="1" x14ac:dyDescent="0.2">
      <c r="B948" s="3"/>
      <c r="C948" s="3"/>
    </row>
    <row r="949" spans="2:3" ht="15" customHeight="1" x14ac:dyDescent="0.2">
      <c r="B949" s="3"/>
      <c r="C949" s="3"/>
    </row>
    <row r="950" spans="2:3" ht="15" customHeight="1" x14ac:dyDescent="0.2">
      <c r="B950" s="3"/>
      <c r="C950" s="3"/>
    </row>
    <row r="951" spans="2:3" ht="15" customHeight="1" x14ac:dyDescent="0.2">
      <c r="B951" s="3"/>
      <c r="C951" s="3"/>
    </row>
    <row r="952" spans="2:3" ht="15" customHeight="1" x14ac:dyDescent="0.2">
      <c r="B952" s="3"/>
      <c r="C952" s="3"/>
    </row>
    <row r="953" spans="2:3" ht="15" customHeight="1" x14ac:dyDescent="0.2">
      <c r="B953" s="3"/>
      <c r="C953" s="3"/>
    </row>
    <row r="954" spans="2:3" ht="15" customHeight="1" x14ac:dyDescent="0.2">
      <c r="B954" s="3"/>
      <c r="C954" s="3"/>
    </row>
    <row r="955" spans="2:3" ht="15" customHeight="1" x14ac:dyDescent="0.2">
      <c r="B955" s="3"/>
      <c r="C955" s="3"/>
    </row>
    <row r="956" spans="2:3" ht="15" customHeight="1" x14ac:dyDescent="0.2">
      <c r="B956" s="3"/>
      <c r="C956" s="3"/>
    </row>
    <row r="957" spans="2:3" ht="15" customHeight="1" x14ac:dyDescent="0.2">
      <c r="B957" s="3"/>
      <c r="C957" s="3"/>
    </row>
    <row r="958" spans="2:3" ht="15" customHeight="1" x14ac:dyDescent="0.2">
      <c r="B958" s="3"/>
      <c r="C958" s="3"/>
    </row>
    <row r="959" spans="2:3" ht="15" customHeight="1" x14ac:dyDescent="0.2">
      <c r="B959" s="3"/>
      <c r="C959" s="3"/>
    </row>
    <row r="960" spans="2:3" ht="15" customHeight="1" x14ac:dyDescent="0.2">
      <c r="B960" s="3"/>
      <c r="C960" s="3"/>
    </row>
    <row r="961" spans="2:3" ht="15" customHeight="1" x14ac:dyDescent="0.2">
      <c r="B961" s="3"/>
      <c r="C961" s="3"/>
    </row>
    <row r="962" spans="2:3" ht="15" customHeight="1" x14ac:dyDescent="0.2">
      <c r="B962" s="3"/>
      <c r="C962" s="3"/>
    </row>
    <row r="963" spans="2:3" ht="15" customHeight="1" x14ac:dyDescent="0.2">
      <c r="B963" s="3"/>
      <c r="C963" s="3"/>
    </row>
    <row r="964" spans="2:3" ht="15" customHeight="1" x14ac:dyDescent="0.2">
      <c r="B964" s="3"/>
      <c r="C964" s="3"/>
    </row>
    <row r="965" spans="2:3" ht="15" customHeight="1" x14ac:dyDescent="0.2">
      <c r="B965" s="3"/>
      <c r="C965" s="3"/>
    </row>
    <row r="966" spans="2:3" ht="15" customHeight="1" x14ac:dyDescent="0.2">
      <c r="B966" s="3"/>
      <c r="C966" s="3"/>
    </row>
    <row r="967" spans="2:3" ht="15" customHeight="1" x14ac:dyDescent="0.2">
      <c r="B967" s="3"/>
      <c r="C967" s="3"/>
    </row>
    <row r="968" spans="2:3" ht="15" customHeight="1" x14ac:dyDescent="0.2">
      <c r="B968" s="3"/>
      <c r="C968" s="3"/>
    </row>
    <row r="969" spans="2:3" ht="15" customHeight="1" x14ac:dyDescent="0.2">
      <c r="B969" s="3"/>
      <c r="C969" s="3"/>
    </row>
    <row r="970" spans="2:3" ht="15" customHeight="1" x14ac:dyDescent="0.2">
      <c r="B970" s="3"/>
      <c r="C970" s="3"/>
    </row>
    <row r="971" spans="2:3" ht="15" customHeight="1" x14ac:dyDescent="0.2">
      <c r="B971" s="3"/>
      <c r="C971" s="3"/>
    </row>
    <row r="972" spans="2:3" ht="15" customHeight="1" x14ac:dyDescent="0.2">
      <c r="B972" s="3"/>
      <c r="C972" s="3"/>
    </row>
    <row r="973" spans="2:3" ht="15" customHeight="1" x14ac:dyDescent="0.2">
      <c r="B973" s="3"/>
      <c r="C973" s="3"/>
    </row>
    <row r="974" spans="2:3" ht="15" customHeight="1" x14ac:dyDescent="0.2">
      <c r="B974" s="3"/>
      <c r="C974" s="3"/>
    </row>
    <row r="975" spans="2:3" ht="15" customHeight="1" x14ac:dyDescent="0.2">
      <c r="B975" s="3"/>
      <c r="C975" s="3"/>
    </row>
    <row r="976" spans="2:3" ht="15" customHeight="1" x14ac:dyDescent="0.2">
      <c r="B976" s="3"/>
      <c r="C976" s="3"/>
    </row>
    <row r="977" spans="2:3" ht="15" customHeight="1" x14ac:dyDescent="0.2">
      <c r="B977" s="3"/>
      <c r="C977" s="3"/>
    </row>
    <row r="978" spans="2:3" ht="15" customHeight="1" x14ac:dyDescent="0.2">
      <c r="B978" s="3"/>
      <c r="C978" s="3"/>
    </row>
    <row r="979" spans="2:3" ht="15" customHeight="1" x14ac:dyDescent="0.2">
      <c r="B979" s="3"/>
      <c r="C979" s="3"/>
    </row>
    <row r="980" spans="2:3" ht="15" customHeight="1" x14ac:dyDescent="0.2">
      <c r="B980" s="3"/>
      <c r="C980" s="3"/>
    </row>
    <row r="981" spans="2:3" ht="15" customHeight="1" x14ac:dyDescent="0.2">
      <c r="B981" s="3"/>
      <c r="C981" s="3"/>
    </row>
    <row r="982" spans="2:3" ht="15" customHeight="1" x14ac:dyDescent="0.2">
      <c r="B982" s="3"/>
      <c r="C982" s="3"/>
    </row>
    <row r="983" spans="2:3" ht="15" customHeight="1" x14ac:dyDescent="0.2">
      <c r="B983" s="3"/>
      <c r="C983" s="3"/>
    </row>
    <row r="984" spans="2:3" ht="15" customHeight="1" x14ac:dyDescent="0.2">
      <c r="B984" s="3"/>
      <c r="C984" s="3"/>
    </row>
    <row r="985" spans="2:3" ht="15" customHeight="1" x14ac:dyDescent="0.2">
      <c r="B985" s="3"/>
      <c r="C985" s="3"/>
    </row>
    <row r="986" spans="2:3" ht="15" customHeight="1" x14ac:dyDescent="0.2">
      <c r="B986" s="3"/>
      <c r="C986" s="3"/>
    </row>
    <row r="987" spans="2:3" ht="15" customHeight="1" x14ac:dyDescent="0.2">
      <c r="B987" s="3"/>
      <c r="C987" s="3"/>
    </row>
    <row r="988" spans="2:3" ht="15" customHeight="1" x14ac:dyDescent="0.2">
      <c r="B988" s="3"/>
      <c r="C988" s="3"/>
    </row>
    <row r="989" spans="2:3" ht="15" customHeight="1" x14ac:dyDescent="0.2">
      <c r="B989" s="3"/>
      <c r="C989" s="3"/>
    </row>
    <row r="990" spans="2:3" ht="15" customHeight="1" x14ac:dyDescent="0.2">
      <c r="B990" s="3"/>
      <c r="C990" s="3"/>
    </row>
    <row r="991" spans="2:3" ht="15" customHeight="1" x14ac:dyDescent="0.2">
      <c r="B991" s="3"/>
      <c r="C991" s="3"/>
    </row>
    <row r="992" spans="2:3" ht="15" customHeight="1" x14ac:dyDescent="0.2">
      <c r="B992" s="3"/>
      <c r="C992" s="3"/>
    </row>
    <row r="993" spans="2:3" ht="15" customHeight="1" x14ac:dyDescent="0.2">
      <c r="B993" s="3"/>
      <c r="C993" s="3"/>
    </row>
    <row r="994" spans="2:3" ht="15" customHeight="1" x14ac:dyDescent="0.2">
      <c r="B994" s="3"/>
      <c r="C994" s="3"/>
    </row>
    <row r="995" spans="2:3" ht="15" customHeight="1" x14ac:dyDescent="0.2">
      <c r="B995" s="3"/>
      <c r="C995" s="3"/>
    </row>
    <row r="996" spans="2:3" ht="15" customHeight="1" x14ac:dyDescent="0.2">
      <c r="B996" s="3"/>
      <c r="C996" s="3"/>
    </row>
    <row r="997" spans="2:3" ht="15" customHeight="1" x14ac:dyDescent="0.2">
      <c r="B997" s="3"/>
      <c r="C997" s="3"/>
    </row>
    <row r="998" spans="2:3" ht="15" customHeight="1" x14ac:dyDescent="0.2">
      <c r="B998" s="3"/>
      <c r="C998" s="3"/>
    </row>
    <row r="999" spans="2:3" ht="15" customHeight="1" x14ac:dyDescent="0.2">
      <c r="B999" s="3"/>
      <c r="C999" s="3"/>
    </row>
    <row r="1000" spans="2:3" ht="15" customHeight="1" x14ac:dyDescent="0.2">
      <c r="B1000" s="3"/>
      <c r="C1000" s="3"/>
    </row>
    <row r="1001" spans="2:3" ht="15" customHeight="1" x14ac:dyDescent="0.2">
      <c r="B1001" s="3"/>
      <c r="C1001" s="3"/>
    </row>
    <row r="1002" spans="2:3" ht="15" customHeight="1" x14ac:dyDescent="0.2">
      <c r="B1002" s="3"/>
      <c r="C1002" s="3"/>
    </row>
  </sheetData>
  <autoFilter ref="A3:E1002" xr:uid="{00000000-0009-0000-0000-000003000000}"/>
  <mergeCells count="2">
    <mergeCell ref="A1:E1"/>
    <mergeCell ref="A2:E2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Channel List</vt:lpstr>
      <vt:lpstr>Mic &amp; DI List</vt:lpstr>
      <vt:lpstr>SatBox Lables</vt:lpstr>
      <vt:lpstr>Equipment Pick List</vt:lpstr>
      <vt:lpstr>'Channel List'!Print_Area</vt:lpstr>
      <vt:lpstr>'Mic &amp; DI List'!Print_Area</vt:lpstr>
      <vt:lpstr>'SatBox Lables'!Print_Area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2026-03-21T23:34:46Z</dcterms:created>
  <dcterms:modified xsi:type="dcterms:W3CDTF">2026-03-21T23:37:21Z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2023-06-02T12:38:35Z</dcterms:created>
  <dc:creator>Daniel Taylor</dc:creator>
  <dc:description/>
  <dc:language>en-US</dc:language>
  <cp:lastModifiedBy>Microsoft Office User</cp:lastModifiedBy>
  <cp:lastPrinted>2023-11-21T23:34:36Z</cp:lastPrinted>
  <dcterms:modified xsi:type="dcterms:W3CDTF">2026-03-21T19:51:46Z</dcterms:modified>
  <cp:revision>0</cp:revision>
  <dc:subject/>
  <dc:title/>
</cp:coreProperties>
</file>